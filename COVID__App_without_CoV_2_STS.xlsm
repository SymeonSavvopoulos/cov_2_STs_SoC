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VID_MAY_2024\Re_ Article in CoV-2-STs ML\code_data - Copy\"/>
    </mc:Choice>
  </mc:AlternateContent>
  <xr:revisionPtr revIDLastSave="0" documentId="13_ncr:1_{7B48516D-F026-44EB-9F61-0B20E2FE5BB0}" xr6:coauthVersionLast="47" xr6:coauthVersionMax="47" xr10:uidLastSave="{00000000-0000-0000-0000-000000000000}"/>
  <bookViews>
    <workbookView xWindow="-28920" yWindow="-1905" windowWidth="29040" windowHeight="17520" xr2:uid="{E36EEEFB-7A6E-4F2C-800F-AB29DBD95C0B}"/>
  </bookViews>
  <sheets>
    <sheet name="Initial" sheetId="3" r:id="rId1"/>
    <sheet name="both" sheetId="1" state="hidden" r:id="rId2"/>
    <sheet name="Characteristics_of_Arm_A" sheetId="2" state="hidden" r:id="rId3"/>
    <sheet name="soc" sheetId="4" state="hidden" r:id="rId4"/>
    <sheet name="Characteristics_of_Arm_B" sheetId="5" state="hidden" r:id="rId5"/>
    <sheet name="MW_tes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2" i="2"/>
  <c r="C5" i="4" a="1"/>
  <c r="C5" i="4" s="1"/>
  <c r="C5" i="1" a="1"/>
  <c r="C5" i="1" s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F19" i="1" s="1"/>
  <c r="C20" i="1"/>
  <c r="F20" i="1" s="1"/>
  <c r="C23" i="1"/>
  <c r="F23" i="1" s="1"/>
  <c r="C24" i="1"/>
  <c r="F24" i="1" s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4" i="6"/>
  <c r="B13" i="6"/>
  <c r="B10" i="6"/>
  <c r="B9" i="6"/>
  <c r="B11" i="6"/>
  <c r="BO127" i="3"/>
  <c r="BO124" i="3"/>
  <c r="M6" i="4"/>
  <c r="P6" i="1" s="1"/>
  <c r="C19" i="4" l="1"/>
  <c r="F19" i="4" s="1"/>
  <c r="C17" i="4"/>
  <c r="F17" i="4" s="1"/>
  <c r="C18" i="4"/>
  <c r="F18" i="4" s="1"/>
  <c r="C16" i="4"/>
  <c r="F16" i="4" s="1"/>
  <c r="C15" i="4"/>
  <c r="F15" i="4" s="1"/>
  <c r="C14" i="4"/>
  <c r="F14" i="4" s="1"/>
  <c r="C13" i="4"/>
  <c r="F13" i="4" s="1"/>
  <c r="C12" i="4"/>
  <c r="F12" i="4" s="1"/>
  <c r="C11" i="4"/>
  <c r="F11" i="4" s="1"/>
  <c r="C10" i="4"/>
  <c r="F10" i="4" s="1"/>
  <c r="C20" i="4"/>
  <c r="F20" i="4" s="1"/>
  <c r="C9" i="4"/>
  <c r="C24" i="4"/>
  <c r="F24" i="4" s="1"/>
  <c r="C8" i="4"/>
  <c r="C23" i="4"/>
  <c r="F23" i="4" s="1"/>
  <c r="C7" i="4"/>
  <c r="C22" i="4"/>
  <c r="F22" i="4" s="1"/>
  <c r="C6" i="4"/>
  <c r="C21" i="4"/>
  <c r="F21" i="4" s="1"/>
  <c r="C22" i="1"/>
  <c r="F22" i="1" s="1"/>
  <c r="C6" i="1"/>
  <c r="C21" i="1"/>
  <c r="F21" i="1" s="1"/>
  <c r="J981" i="6"/>
  <c r="J771" i="6"/>
  <c r="I793" i="6"/>
  <c r="J980" i="6"/>
  <c r="I761" i="6"/>
  <c r="I687" i="6"/>
  <c r="I974" i="6"/>
  <c r="J672" i="6"/>
  <c r="I973" i="6"/>
  <c r="J655" i="6"/>
  <c r="I638" i="6"/>
  <c r="I972" i="6"/>
  <c r="J965" i="6"/>
  <c r="I621" i="6"/>
  <c r="I957" i="6"/>
  <c r="I604" i="6"/>
  <c r="J939" i="6"/>
  <c r="I570" i="6"/>
  <c r="I508" i="6"/>
  <c r="I930" i="6"/>
  <c r="I857" i="6"/>
  <c r="I289" i="6"/>
  <c r="J845" i="6"/>
  <c r="J835" i="6"/>
  <c r="I4" i="6"/>
  <c r="I825" i="6"/>
  <c r="J4" i="6"/>
  <c r="J813" i="6"/>
  <c r="I998" i="6"/>
  <c r="J803" i="6"/>
  <c r="J997" i="6"/>
  <c r="I587" i="6"/>
  <c r="I999" i="6"/>
  <c r="J948" i="6"/>
  <c r="J781" i="6"/>
  <c r="I550" i="6"/>
  <c r="I997" i="6"/>
  <c r="I921" i="6"/>
  <c r="J749" i="6"/>
  <c r="I991" i="6"/>
  <c r="J909" i="6"/>
  <c r="J739" i="6"/>
  <c r="I990" i="6"/>
  <c r="J899" i="6"/>
  <c r="I729" i="6"/>
  <c r="J989" i="6"/>
  <c r="I889" i="6"/>
  <c r="J716" i="6"/>
  <c r="I989" i="6"/>
  <c r="J877" i="6"/>
  <c r="I702" i="6"/>
  <c r="J982" i="6"/>
  <c r="J867" i="6"/>
  <c r="J5" i="6"/>
  <c r="J13" i="6"/>
  <c r="J21" i="6"/>
  <c r="J29" i="6"/>
  <c r="J37" i="6"/>
  <c r="J45" i="6"/>
  <c r="J53" i="6"/>
  <c r="J61" i="6"/>
  <c r="J69" i="6"/>
  <c r="J77" i="6"/>
  <c r="J85" i="6"/>
  <c r="J93" i="6"/>
  <c r="J101" i="6"/>
  <c r="J109" i="6"/>
  <c r="J117" i="6"/>
  <c r="J125" i="6"/>
  <c r="J133" i="6"/>
  <c r="J141" i="6"/>
  <c r="J149" i="6"/>
  <c r="J157" i="6"/>
  <c r="J165" i="6"/>
  <c r="J173" i="6"/>
  <c r="J181" i="6"/>
  <c r="I6" i="6"/>
  <c r="I14" i="6"/>
  <c r="I22" i="6"/>
  <c r="I30" i="6"/>
  <c r="I38" i="6"/>
  <c r="I46" i="6"/>
  <c r="I54" i="6"/>
  <c r="I62" i="6"/>
  <c r="I70" i="6"/>
  <c r="I78" i="6"/>
  <c r="I86" i="6"/>
  <c r="I94" i="6"/>
  <c r="I102" i="6"/>
  <c r="I110" i="6"/>
  <c r="I118" i="6"/>
  <c r="I126" i="6"/>
  <c r="I134" i="6"/>
  <c r="I142" i="6"/>
  <c r="I150" i="6"/>
  <c r="I158" i="6"/>
  <c r="I166" i="6"/>
  <c r="I174" i="6"/>
  <c r="I182" i="6"/>
  <c r="I190" i="6"/>
  <c r="I198" i="6"/>
  <c r="I206" i="6"/>
  <c r="I214" i="6"/>
  <c r="I222" i="6"/>
  <c r="I230" i="6"/>
  <c r="I238" i="6"/>
  <c r="I246" i="6"/>
  <c r="I254" i="6"/>
  <c r="I262" i="6"/>
  <c r="I270" i="6"/>
  <c r="I278" i="6"/>
  <c r="I286" i="6"/>
  <c r="I294" i="6"/>
  <c r="I302" i="6"/>
  <c r="I310" i="6"/>
  <c r="I318" i="6"/>
  <c r="I326" i="6"/>
  <c r="I334" i="6"/>
  <c r="I342" i="6"/>
  <c r="I350" i="6"/>
  <c r="I358" i="6"/>
  <c r="I366" i="6"/>
  <c r="I374" i="6"/>
  <c r="I382" i="6"/>
  <c r="I390" i="6"/>
  <c r="I398" i="6"/>
  <c r="I406" i="6"/>
  <c r="I414" i="6"/>
  <c r="I422" i="6"/>
  <c r="I430" i="6"/>
  <c r="I438" i="6"/>
  <c r="I446" i="6"/>
  <c r="I454" i="6"/>
  <c r="I462" i="6"/>
  <c r="I470" i="6"/>
  <c r="J6" i="6"/>
  <c r="J14" i="6"/>
  <c r="J22" i="6"/>
  <c r="J30" i="6"/>
  <c r="J38" i="6"/>
  <c r="J46" i="6"/>
  <c r="J54" i="6"/>
  <c r="J62" i="6"/>
  <c r="J70" i="6"/>
  <c r="J78" i="6"/>
  <c r="J86" i="6"/>
  <c r="J94" i="6"/>
  <c r="J102" i="6"/>
  <c r="J110" i="6"/>
  <c r="J118" i="6"/>
  <c r="J126" i="6"/>
  <c r="J134" i="6"/>
  <c r="J142" i="6"/>
  <c r="J150" i="6"/>
  <c r="J158" i="6"/>
  <c r="I7" i="6"/>
  <c r="I15" i="6"/>
  <c r="I23" i="6"/>
  <c r="I31" i="6"/>
  <c r="I39" i="6"/>
  <c r="I47" i="6"/>
  <c r="I55" i="6"/>
  <c r="I63" i="6"/>
  <c r="I71" i="6"/>
  <c r="I79" i="6"/>
  <c r="I87" i="6"/>
  <c r="I95" i="6"/>
  <c r="I103" i="6"/>
  <c r="I111" i="6"/>
  <c r="I119" i="6"/>
  <c r="I127" i="6"/>
  <c r="I135" i="6"/>
  <c r="I143" i="6"/>
  <c r="I151" i="6"/>
  <c r="I159" i="6"/>
  <c r="I167" i="6"/>
  <c r="I175" i="6"/>
  <c r="I183" i="6"/>
  <c r="I191" i="6"/>
  <c r="I199" i="6"/>
  <c r="I207" i="6"/>
  <c r="I215" i="6"/>
  <c r="I223" i="6"/>
  <c r="I231" i="6"/>
  <c r="I239" i="6"/>
  <c r="I247" i="6"/>
  <c r="I255" i="6"/>
  <c r="I263" i="6"/>
  <c r="I271" i="6"/>
  <c r="I279" i="6"/>
  <c r="I287" i="6"/>
  <c r="I295" i="6"/>
  <c r="I303" i="6"/>
  <c r="I311" i="6"/>
  <c r="I319" i="6"/>
  <c r="I327" i="6"/>
  <c r="I335" i="6"/>
  <c r="I343" i="6"/>
  <c r="I351" i="6"/>
  <c r="I359" i="6"/>
  <c r="I367" i="6"/>
  <c r="I375" i="6"/>
  <c r="I383" i="6"/>
  <c r="I391" i="6"/>
  <c r="I399" i="6"/>
  <c r="I407" i="6"/>
  <c r="I415" i="6"/>
  <c r="I423" i="6"/>
  <c r="I431" i="6"/>
  <c r="I439" i="6"/>
  <c r="I447" i="6"/>
  <c r="I455" i="6"/>
  <c r="I463" i="6"/>
  <c r="I471" i="6"/>
  <c r="I479" i="6"/>
  <c r="I487" i="6"/>
  <c r="I495" i="6"/>
  <c r="I503" i="6"/>
  <c r="I511" i="6"/>
  <c r="I519" i="6"/>
  <c r="I527" i="6"/>
  <c r="I535" i="6"/>
  <c r="I543" i="6"/>
  <c r="I551" i="6"/>
  <c r="I559" i="6"/>
  <c r="I567" i="6"/>
  <c r="I575" i="6"/>
  <c r="I583" i="6"/>
  <c r="I591" i="6"/>
  <c r="I599" i="6"/>
  <c r="I607" i="6"/>
  <c r="I615" i="6"/>
  <c r="I623" i="6"/>
  <c r="I631" i="6"/>
  <c r="I639" i="6"/>
  <c r="I647" i="6"/>
  <c r="I655" i="6"/>
  <c r="I663" i="6"/>
  <c r="I671" i="6"/>
  <c r="I679" i="6"/>
  <c r="J7" i="6"/>
  <c r="J15" i="6"/>
  <c r="J23" i="6"/>
  <c r="J31" i="6"/>
  <c r="J39" i="6"/>
  <c r="J47" i="6"/>
  <c r="J55" i="6"/>
  <c r="J63" i="6"/>
  <c r="J71" i="6"/>
  <c r="J79" i="6"/>
  <c r="J87" i="6"/>
  <c r="J95" i="6"/>
  <c r="J103" i="6"/>
  <c r="J111" i="6"/>
  <c r="J119" i="6"/>
  <c r="J127" i="6"/>
  <c r="J135" i="6"/>
  <c r="J143" i="6"/>
  <c r="J151" i="6"/>
  <c r="J159" i="6"/>
  <c r="J167" i="6"/>
  <c r="J175" i="6"/>
  <c r="J183" i="6"/>
  <c r="J191" i="6"/>
  <c r="J199" i="6"/>
  <c r="J207" i="6"/>
  <c r="J215" i="6"/>
  <c r="J223" i="6"/>
  <c r="J231" i="6"/>
  <c r="J239" i="6"/>
  <c r="J247" i="6"/>
  <c r="J255" i="6"/>
  <c r="J263" i="6"/>
  <c r="J271" i="6"/>
  <c r="J279" i="6"/>
  <c r="J287" i="6"/>
  <c r="J295" i="6"/>
  <c r="J303" i="6"/>
  <c r="J311" i="6"/>
  <c r="J319" i="6"/>
  <c r="J327" i="6"/>
  <c r="J335" i="6"/>
  <c r="J343" i="6"/>
  <c r="J351" i="6"/>
  <c r="J359" i="6"/>
  <c r="J367" i="6"/>
  <c r="J375" i="6"/>
  <c r="J383" i="6"/>
  <c r="J391" i="6"/>
  <c r="J399" i="6"/>
  <c r="J407" i="6"/>
  <c r="J415" i="6"/>
  <c r="J423" i="6"/>
  <c r="J431" i="6"/>
  <c r="J439" i="6"/>
  <c r="J447" i="6"/>
  <c r="J455" i="6"/>
  <c r="J463" i="6"/>
  <c r="J471" i="6"/>
  <c r="J479" i="6"/>
  <c r="J487" i="6"/>
  <c r="I8" i="6"/>
  <c r="I16" i="6"/>
  <c r="I24" i="6"/>
  <c r="I32" i="6"/>
  <c r="I40" i="6"/>
  <c r="I48" i="6"/>
  <c r="I56" i="6"/>
  <c r="I64" i="6"/>
  <c r="I72" i="6"/>
  <c r="I80" i="6"/>
  <c r="I88" i="6"/>
  <c r="I96" i="6"/>
  <c r="I104" i="6"/>
  <c r="I112" i="6"/>
  <c r="I120" i="6"/>
  <c r="I128" i="6"/>
  <c r="I136" i="6"/>
  <c r="I144" i="6"/>
  <c r="I152" i="6"/>
  <c r="I160" i="6"/>
  <c r="I168" i="6"/>
  <c r="I176" i="6"/>
  <c r="I184" i="6"/>
  <c r="I192" i="6"/>
  <c r="I200" i="6"/>
  <c r="I208" i="6"/>
  <c r="I216" i="6"/>
  <c r="I224" i="6"/>
  <c r="I232" i="6"/>
  <c r="I240" i="6"/>
  <c r="I248" i="6"/>
  <c r="I256" i="6"/>
  <c r="I264" i="6"/>
  <c r="I272" i="6"/>
  <c r="I280" i="6"/>
  <c r="I288" i="6"/>
  <c r="I296" i="6"/>
  <c r="I304" i="6"/>
  <c r="I312" i="6"/>
  <c r="I320" i="6"/>
  <c r="I328" i="6"/>
  <c r="I336" i="6"/>
  <c r="I344" i="6"/>
  <c r="I352" i="6"/>
  <c r="I360" i="6"/>
  <c r="I368" i="6"/>
  <c r="I376" i="6"/>
  <c r="I384" i="6"/>
  <c r="I392" i="6"/>
  <c r="I400" i="6"/>
  <c r="I408" i="6"/>
  <c r="I416" i="6"/>
  <c r="I424" i="6"/>
  <c r="I432" i="6"/>
  <c r="I440" i="6"/>
  <c r="I448" i="6"/>
  <c r="I456" i="6"/>
  <c r="I464" i="6"/>
  <c r="I472" i="6"/>
  <c r="I480" i="6"/>
  <c r="I488" i="6"/>
  <c r="I496" i="6"/>
  <c r="J8" i="6"/>
  <c r="J16" i="6"/>
  <c r="J24" i="6"/>
  <c r="J32" i="6"/>
  <c r="J40" i="6"/>
  <c r="J48" i="6"/>
  <c r="J56" i="6"/>
  <c r="J64" i="6"/>
  <c r="J72" i="6"/>
  <c r="J80" i="6"/>
  <c r="J88" i="6"/>
  <c r="J96" i="6"/>
  <c r="J104" i="6"/>
  <c r="J112" i="6"/>
  <c r="J120" i="6"/>
  <c r="J128" i="6"/>
  <c r="J136" i="6"/>
  <c r="J144" i="6"/>
  <c r="J152" i="6"/>
  <c r="J160" i="6"/>
  <c r="J168" i="6"/>
  <c r="J176" i="6"/>
  <c r="J184" i="6"/>
  <c r="J192" i="6"/>
  <c r="J200" i="6"/>
  <c r="J208" i="6"/>
  <c r="J216" i="6"/>
  <c r="J224" i="6"/>
  <c r="J232" i="6"/>
  <c r="J240" i="6"/>
  <c r="J248" i="6"/>
  <c r="J256" i="6"/>
  <c r="J264" i="6"/>
  <c r="J272" i="6"/>
  <c r="J280" i="6"/>
  <c r="J288" i="6"/>
  <c r="J296" i="6"/>
  <c r="J304" i="6"/>
  <c r="J312" i="6"/>
  <c r="J320" i="6"/>
  <c r="J328" i="6"/>
  <c r="J336" i="6"/>
  <c r="J344" i="6"/>
  <c r="J352" i="6"/>
  <c r="J360" i="6"/>
  <c r="J368" i="6"/>
  <c r="J376" i="6"/>
  <c r="J384" i="6"/>
  <c r="J392" i="6"/>
  <c r="J400" i="6"/>
  <c r="J408" i="6"/>
  <c r="J416" i="6"/>
  <c r="J424" i="6"/>
  <c r="J432" i="6"/>
  <c r="J440" i="6"/>
  <c r="J448" i="6"/>
  <c r="J456" i="6"/>
  <c r="J464" i="6"/>
  <c r="J472" i="6"/>
  <c r="J480" i="6"/>
  <c r="J488" i="6"/>
  <c r="J496" i="6"/>
  <c r="I9" i="6"/>
  <c r="J9" i="6"/>
  <c r="I10" i="6"/>
  <c r="I18" i="6"/>
  <c r="I26" i="6"/>
  <c r="I34" i="6"/>
  <c r="I42" i="6"/>
  <c r="I50" i="6"/>
  <c r="I58" i="6"/>
  <c r="I66" i="6"/>
  <c r="I74" i="6"/>
  <c r="I82" i="6"/>
  <c r="I90" i="6"/>
  <c r="I98" i="6"/>
  <c r="I106" i="6"/>
  <c r="I114" i="6"/>
  <c r="I122" i="6"/>
  <c r="I130" i="6"/>
  <c r="I138" i="6"/>
  <c r="I146" i="6"/>
  <c r="I154" i="6"/>
  <c r="I162" i="6"/>
  <c r="I170" i="6"/>
  <c r="I178" i="6"/>
  <c r="I186" i="6"/>
  <c r="J10" i="6"/>
  <c r="J18" i="6"/>
  <c r="J26" i="6"/>
  <c r="J34" i="6"/>
  <c r="J42" i="6"/>
  <c r="J50" i="6"/>
  <c r="J58" i="6"/>
  <c r="J66" i="6"/>
  <c r="J74" i="6"/>
  <c r="J82" i="6"/>
  <c r="J90" i="6"/>
  <c r="J98" i="6"/>
  <c r="J106" i="6"/>
  <c r="J114" i="6"/>
  <c r="J122" i="6"/>
  <c r="J130" i="6"/>
  <c r="J138" i="6"/>
  <c r="J146" i="6"/>
  <c r="J154" i="6"/>
  <c r="J162" i="6"/>
  <c r="J170" i="6"/>
  <c r="J178" i="6"/>
  <c r="J186" i="6"/>
  <c r="J194" i="6"/>
  <c r="J202" i="6"/>
  <c r="J210" i="6"/>
  <c r="J218" i="6"/>
  <c r="J226" i="6"/>
  <c r="J234" i="6"/>
  <c r="J242" i="6"/>
  <c r="J250" i="6"/>
  <c r="J258" i="6"/>
  <c r="J266" i="6"/>
  <c r="J274" i="6"/>
  <c r="J282" i="6"/>
  <c r="J290" i="6"/>
  <c r="J298" i="6"/>
  <c r="J306" i="6"/>
  <c r="J314" i="6"/>
  <c r="J322" i="6"/>
  <c r="J330" i="6"/>
  <c r="J338" i="6"/>
  <c r="J346" i="6"/>
  <c r="J354" i="6"/>
  <c r="J362" i="6"/>
  <c r="J370" i="6"/>
  <c r="I11" i="6"/>
  <c r="I19" i="6"/>
  <c r="I27" i="6"/>
  <c r="I35" i="6"/>
  <c r="I43" i="6"/>
  <c r="I51" i="6"/>
  <c r="I59" i="6"/>
  <c r="I67" i="6"/>
  <c r="I75" i="6"/>
  <c r="I83" i="6"/>
  <c r="I91" i="6"/>
  <c r="I99" i="6"/>
  <c r="I107" i="6"/>
  <c r="I115" i="6"/>
  <c r="I123" i="6"/>
  <c r="I131" i="6"/>
  <c r="I139" i="6"/>
  <c r="I147" i="6"/>
  <c r="J11" i="6"/>
  <c r="J19" i="6"/>
  <c r="J27" i="6"/>
  <c r="J35" i="6"/>
  <c r="J43" i="6"/>
  <c r="J51" i="6"/>
  <c r="J59" i="6"/>
  <c r="J67" i="6"/>
  <c r="J75" i="6"/>
  <c r="J83" i="6"/>
  <c r="J91" i="6"/>
  <c r="J99" i="6"/>
  <c r="J107" i="6"/>
  <c r="J115" i="6"/>
  <c r="J123" i="6"/>
  <c r="J131" i="6"/>
  <c r="J139" i="6"/>
  <c r="J147" i="6"/>
  <c r="J155" i="6"/>
  <c r="J163" i="6"/>
  <c r="J171" i="6"/>
  <c r="J179" i="6"/>
  <c r="J187" i="6"/>
  <c r="I12" i="6"/>
  <c r="I20" i="6"/>
  <c r="I28" i="6"/>
  <c r="I36" i="6"/>
  <c r="I44" i="6"/>
  <c r="I52" i="6"/>
  <c r="I60" i="6"/>
  <c r="I68" i="6"/>
  <c r="I76" i="6"/>
  <c r="I84" i="6"/>
  <c r="I92" i="6"/>
  <c r="I100" i="6"/>
  <c r="I108" i="6"/>
  <c r="I116" i="6"/>
  <c r="I124" i="6"/>
  <c r="I132" i="6"/>
  <c r="I140" i="6"/>
  <c r="I148" i="6"/>
  <c r="I156" i="6"/>
  <c r="I164" i="6"/>
  <c r="J12" i="6"/>
  <c r="J20" i="6"/>
  <c r="J28" i="6"/>
  <c r="J36" i="6"/>
  <c r="J44" i="6"/>
  <c r="J52" i="6"/>
  <c r="J60" i="6"/>
  <c r="J68" i="6"/>
  <c r="J76" i="6"/>
  <c r="J84" i="6"/>
  <c r="J92" i="6"/>
  <c r="J100" i="6"/>
  <c r="J108" i="6"/>
  <c r="J116" i="6"/>
  <c r="J124" i="6"/>
  <c r="J132" i="6"/>
  <c r="J140" i="6"/>
  <c r="J148" i="6"/>
  <c r="J156" i="6"/>
  <c r="J164" i="6"/>
  <c r="J172" i="6"/>
  <c r="J180" i="6"/>
  <c r="J188" i="6"/>
  <c r="J196" i="6"/>
  <c r="J204" i="6"/>
  <c r="J212" i="6"/>
  <c r="J220" i="6"/>
  <c r="J228" i="6"/>
  <c r="J236" i="6"/>
  <c r="J244" i="6"/>
  <c r="J252" i="6"/>
  <c r="J260" i="6"/>
  <c r="J268" i="6"/>
  <c r="J276" i="6"/>
  <c r="J284" i="6"/>
  <c r="J292" i="6"/>
  <c r="J300" i="6"/>
  <c r="J308" i="6"/>
  <c r="J316" i="6"/>
  <c r="J324" i="6"/>
  <c r="J332" i="6"/>
  <c r="J340" i="6"/>
  <c r="J348" i="6"/>
  <c r="J356" i="6"/>
  <c r="J364" i="6"/>
  <c r="J372" i="6"/>
  <c r="J380" i="6"/>
  <c r="J388" i="6"/>
  <c r="J396" i="6"/>
  <c r="J404" i="6"/>
  <c r="J412" i="6"/>
  <c r="J420" i="6"/>
  <c r="J428" i="6"/>
  <c r="J436" i="6"/>
  <c r="J444" i="6"/>
  <c r="J452" i="6"/>
  <c r="J460" i="6"/>
  <c r="J468" i="6"/>
  <c r="I5" i="6"/>
  <c r="I13" i="6"/>
  <c r="I21" i="6"/>
  <c r="I29" i="6"/>
  <c r="I37" i="6"/>
  <c r="I45" i="6"/>
  <c r="I53" i="6"/>
  <c r="I61" i="6"/>
  <c r="I69" i="6"/>
  <c r="I77" i="6"/>
  <c r="I85" i="6"/>
  <c r="I93" i="6"/>
  <c r="I101" i="6"/>
  <c r="I109" i="6"/>
  <c r="I117" i="6"/>
  <c r="I125" i="6"/>
  <c r="I133" i="6"/>
  <c r="I141" i="6"/>
  <c r="I149" i="6"/>
  <c r="I157" i="6"/>
  <c r="I165" i="6"/>
  <c r="I173" i="6"/>
  <c r="I181" i="6"/>
  <c r="I189" i="6"/>
  <c r="I197" i="6"/>
  <c r="I205" i="6"/>
  <c r="I213" i="6"/>
  <c r="I221" i="6"/>
  <c r="I229" i="6"/>
  <c r="I237" i="6"/>
  <c r="I245" i="6"/>
  <c r="I253" i="6"/>
  <c r="I261" i="6"/>
  <c r="I269" i="6"/>
  <c r="I277" i="6"/>
  <c r="I285" i="6"/>
  <c r="I293" i="6"/>
  <c r="I301" i="6"/>
  <c r="I309" i="6"/>
  <c r="I317" i="6"/>
  <c r="I325" i="6"/>
  <c r="I333" i="6"/>
  <c r="I341" i="6"/>
  <c r="I349" i="6"/>
  <c r="I357" i="6"/>
  <c r="I365" i="6"/>
  <c r="I373" i="6"/>
  <c r="I381" i="6"/>
  <c r="I389" i="6"/>
  <c r="I397" i="6"/>
  <c r="I405" i="6"/>
  <c r="I413" i="6"/>
  <c r="I421" i="6"/>
  <c r="I429" i="6"/>
  <c r="I437" i="6"/>
  <c r="I445" i="6"/>
  <c r="I453" i="6"/>
  <c r="I57" i="6"/>
  <c r="I121" i="6"/>
  <c r="J169" i="6"/>
  <c r="J193" i="6"/>
  <c r="J209" i="6"/>
  <c r="J225" i="6"/>
  <c r="J241" i="6"/>
  <c r="J257" i="6"/>
  <c r="J273" i="6"/>
  <c r="J289" i="6"/>
  <c r="J305" i="6"/>
  <c r="J321" i="6"/>
  <c r="J337" i="6"/>
  <c r="J353" i="6"/>
  <c r="J369" i="6"/>
  <c r="I385" i="6"/>
  <c r="J397" i="6"/>
  <c r="J411" i="6"/>
  <c r="J426" i="6"/>
  <c r="J441" i="6"/>
  <c r="J454" i="6"/>
  <c r="J467" i="6"/>
  <c r="J478" i="6"/>
  <c r="J490" i="6"/>
  <c r="I500" i="6"/>
  <c r="J508" i="6"/>
  <c r="I517" i="6"/>
  <c r="J525" i="6"/>
  <c r="I534" i="6"/>
  <c r="J542" i="6"/>
  <c r="J551" i="6"/>
  <c r="I560" i="6"/>
  <c r="J568" i="6"/>
  <c r="I577" i="6"/>
  <c r="J585" i="6"/>
  <c r="I594" i="6"/>
  <c r="J602" i="6"/>
  <c r="I611" i="6"/>
  <c r="J619" i="6"/>
  <c r="I628" i="6"/>
  <c r="J636" i="6"/>
  <c r="I645" i="6"/>
  <c r="J653" i="6"/>
  <c r="I662" i="6"/>
  <c r="J670" i="6"/>
  <c r="J679" i="6"/>
  <c r="J687" i="6"/>
  <c r="J695" i="6"/>
  <c r="J703" i="6"/>
  <c r="J711" i="6"/>
  <c r="J719" i="6"/>
  <c r="J727" i="6"/>
  <c r="J735" i="6"/>
  <c r="J743" i="6"/>
  <c r="J751" i="6"/>
  <c r="J759" i="6"/>
  <c r="J767" i="6"/>
  <c r="J775" i="6"/>
  <c r="J783" i="6"/>
  <c r="J791" i="6"/>
  <c r="J799" i="6"/>
  <c r="J807" i="6"/>
  <c r="J815" i="6"/>
  <c r="J823" i="6"/>
  <c r="J831" i="6"/>
  <c r="J839" i="6"/>
  <c r="J847" i="6"/>
  <c r="J855" i="6"/>
  <c r="J863" i="6"/>
  <c r="J871" i="6"/>
  <c r="J879" i="6"/>
  <c r="J887" i="6"/>
  <c r="J895" i="6"/>
  <c r="J903" i="6"/>
  <c r="J911" i="6"/>
  <c r="J919" i="6"/>
  <c r="J927" i="6"/>
  <c r="J935" i="6"/>
  <c r="J943" i="6"/>
  <c r="J57" i="6"/>
  <c r="J121" i="6"/>
  <c r="I171" i="6"/>
  <c r="I194" i="6"/>
  <c r="I210" i="6"/>
  <c r="I226" i="6"/>
  <c r="I242" i="6"/>
  <c r="I258" i="6"/>
  <c r="I274" i="6"/>
  <c r="I290" i="6"/>
  <c r="I306" i="6"/>
  <c r="I322" i="6"/>
  <c r="I338" i="6"/>
  <c r="I354" i="6"/>
  <c r="I370" i="6"/>
  <c r="J385" i="6"/>
  <c r="J398" i="6"/>
  <c r="I412" i="6"/>
  <c r="I427" i="6"/>
  <c r="I442" i="6"/>
  <c r="I457" i="6"/>
  <c r="I468" i="6"/>
  <c r="I481" i="6"/>
  <c r="I491" i="6"/>
  <c r="J500" i="6"/>
  <c r="I509" i="6"/>
  <c r="J517" i="6"/>
  <c r="I526" i="6"/>
  <c r="J534" i="6"/>
  <c r="J543" i="6"/>
  <c r="I552" i="6"/>
  <c r="J560" i="6"/>
  <c r="I569" i="6"/>
  <c r="J577" i="6"/>
  <c r="I586" i="6"/>
  <c r="J594" i="6"/>
  <c r="I603" i="6"/>
  <c r="J611" i="6"/>
  <c r="I620" i="6"/>
  <c r="J628" i="6"/>
  <c r="I637" i="6"/>
  <c r="J645" i="6"/>
  <c r="I654" i="6"/>
  <c r="J662" i="6"/>
  <c r="J671" i="6"/>
  <c r="I680" i="6"/>
  <c r="I688" i="6"/>
  <c r="I696" i="6"/>
  <c r="I704" i="6"/>
  <c r="I712" i="6"/>
  <c r="I720" i="6"/>
  <c r="I728" i="6"/>
  <c r="I736" i="6"/>
  <c r="I744" i="6"/>
  <c r="I752" i="6"/>
  <c r="I760" i="6"/>
  <c r="I768" i="6"/>
  <c r="I776" i="6"/>
  <c r="I784" i="6"/>
  <c r="I792" i="6"/>
  <c r="I800" i="6"/>
  <c r="I808" i="6"/>
  <c r="I816" i="6"/>
  <c r="I824" i="6"/>
  <c r="I832" i="6"/>
  <c r="I840" i="6"/>
  <c r="I848" i="6"/>
  <c r="I856" i="6"/>
  <c r="I864" i="6"/>
  <c r="I872" i="6"/>
  <c r="I880" i="6"/>
  <c r="I888" i="6"/>
  <c r="I896" i="6"/>
  <c r="I904" i="6"/>
  <c r="I912" i="6"/>
  <c r="I920" i="6"/>
  <c r="I65" i="6"/>
  <c r="I129" i="6"/>
  <c r="I172" i="6"/>
  <c r="I195" i="6"/>
  <c r="I211" i="6"/>
  <c r="I227" i="6"/>
  <c r="I243" i="6"/>
  <c r="I259" i="6"/>
  <c r="I275" i="6"/>
  <c r="I291" i="6"/>
  <c r="I307" i="6"/>
  <c r="I323" i="6"/>
  <c r="I339" i="6"/>
  <c r="I355" i="6"/>
  <c r="I371" i="6"/>
  <c r="I386" i="6"/>
  <c r="I401" i="6"/>
  <c r="J413" i="6"/>
  <c r="J427" i="6"/>
  <c r="J442" i="6"/>
  <c r="J457" i="6"/>
  <c r="I469" i="6"/>
  <c r="J481" i="6"/>
  <c r="J491" i="6"/>
  <c r="I501" i="6"/>
  <c r="J509" i="6"/>
  <c r="I518" i="6"/>
  <c r="J526" i="6"/>
  <c r="J535" i="6"/>
  <c r="I544" i="6"/>
  <c r="J552" i="6"/>
  <c r="I561" i="6"/>
  <c r="J569" i="6"/>
  <c r="I578" i="6"/>
  <c r="J586" i="6"/>
  <c r="I595" i="6"/>
  <c r="J603" i="6"/>
  <c r="I612" i="6"/>
  <c r="J620" i="6"/>
  <c r="I629" i="6"/>
  <c r="J637" i="6"/>
  <c r="I646" i="6"/>
  <c r="J654" i="6"/>
  <c r="J663" i="6"/>
  <c r="I672" i="6"/>
  <c r="J680" i="6"/>
  <c r="J688" i="6"/>
  <c r="J696" i="6"/>
  <c r="J704" i="6"/>
  <c r="J712" i="6"/>
  <c r="J720" i="6"/>
  <c r="J728" i="6"/>
  <c r="J736" i="6"/>
  <c r="J744" i="6"/>
  <c r="J752" i="6"/>
  <c r="J760" i="6"/>
  <c r="J768" i="6"/>
  <c r="J776" i="6"/>
  <c r="J784" i="6"/>
  <c r="J792" i="6"/>
  <c r="J800" i="6"/>
  <c r="J808" i="6"/>
  <c r="J816" i="6"/>
  <c r="J824" i="6"/>
  <c r="J832" i="6"/>
  <c r="J840" i="6"/>
  <c r="J848" i="6"/>
  <c r="J856" i="6"/>
  <c r="J864" i="6"/>
  <c r="J872" i="6"/>
  <c r="J880" i="6"/>
  <c r="J888" i="6"/>
  <c r="J896" i="6"/>
  <c r="J904" i="6"/>
  <c r="J912" i="6"/>
  <c r="J920" i="6"/>
  <c r="J65" i="6"/>
  <c r="J129" i="6"/>
  <c r="J174" i="6"/>
  <c r="J195" i="6"/>
  <c r="J211" i="6"/>
  <c r="J227" i="6"/>
  <c r="J243" i="6"/>
  <c r="J259" i="6"/>
  <c r="J275" i="6"/>
  <c r="J291" i="6"/>
  <c r="J307" i="6"/>
  <c r="J323" i="6"/>
  <c r="J339" i="6"/>
  <c r="J355" i="6"/>
  <c r="J371" i="6"/>
  <c r="J386" i="6"/>
  <c r="J401" i="6"/>
  <c r="J414" i="6"/>
  <c r="I428" i="6"/>
  <c r="I443" i="6"/>
  <c r="I458" i="6"/>
  <c r="J469" i="6"/>
  <c r="I482" i="6"/>
  <c r="I492" i="6"/>
  <c r="J501" i="6"/>
  <c r="I510" i="6"/>
  <c r="J518" i="6"/>
  <c r="J527" i="6"/>
  <c r="I536" i="6"/>
  <c r="J544" i="6"/>
  <c r="I553" i="6"/>
  <c r="J561" i="6"/>
  <c r="I73" i="6"/>
  <c r="I137" i="6"/>
  <c r="I177" i="6"/>
  <c r="I196" i="6"/>
  <c r="I212" i="6"/>
  <c r="I228" i="6"/>
  <c r="I244" i="6"/>
  <c r="I260" i="6"/>
  <c r="I276" i="6"/>
  <c r="I292" i="6"/>
  <c r="I308" i="6"/>
  <c r="I324" i="6"/>
  <c r="I340" i="6"/>
  <c r="I356" i="6"/>
  <c r="I372" i="6"/>
  <c r="I387" i="6"/>
  <c r="I402" i="6"/>
  <c r="I417" i="6"/>
  <c r="J429" i="6"/>
  <c r="J443" i="6"/>
  <c r="J458" i="6"/>
  <c r="J470" i="6"/>
  <c r="J482" i="6"/>
  <c r="J492" i="6"/>
  <c r="I502" i="6"/>
  <c r="J510" i="6"/>
  <c r="J519" i="6"/>
  <c r="I528" i="6"/>
  <c r="J536" i="6"/>
  <c r="I545" i="6"/>
  <c r="J73" i="6"/>
  <c r="J137" i="6"/>
  <c r="J177" i="6"/>
  <c r="J197" i="6"/>
  <c r="J213" i="6"/>
  <c r="J229" i="6"/>
  <c r="J245" i="6"/>
  <c r="J261" i="6"/>
  <c r="J277" i="6"/>
  <c r="J293" i="6"/>
  <c r="J309" i="6"/>
  <c r="J325" i="6"/>
  <c r="J341" i="6"/>
  <c r="J357" i="6"/>
  <c r="J373" i="6"/>
  <c r="J387" i="6"/>
  <c r="J402" i="6"/>
  <c r="J417" i="6"/>
  <c r="J430" i="6"/>
  <c r="I444" i="6"/>
  <c r="I459" i="6"/>
  <c r="I473" i="6"/>
  <c r="I483" i="6"/>
  <c r="I493" i="6"/>
  <c r="J502" i="6"/>
  <c r="J511" i="6"/>
  <c r="I17" i="6"/>
  <c r="I81" i="6"/>
  <c r="I145" i="6"/>
  <c r="I179" i="6"/>
  <c r="J198" i="6"/>
  <c r="J214" i="6"/>
  <c r="J230" i="6"/>
  <c r="J246" i="6"/>
  <c r="J262" i="6"/>
  <c r="J278" i="6"/>
  <c r="J294" i="6"/>
  <c r="J310" i="6"/>
  <c r="J326" i="6"/>
  <c r="J342" i="6"/>
  <c r="J358" i="6"/>
  <c r="J374" i="6"/>
  <c r="I388" i="6"/>
  <c r="I403" i="6"/>
  <c r="I418" i="6"/>
  <c r="I433" i="6"/>
  <c r="J445" i="6"/>
  <c r="J459" i="6"/>
  <c r="J473" i="6"/>
  <c r="J483" i="6"/>
  <c r="J493" i="6"/>
  <c r="J503" i="6"/>
  <c r="I512" i="6"/>
  <c r="J520" i="6"/>
  <c r="I529" i="6"/>
  <c r="J537" i="6"/>
  <c r="I546" i="6"/>
  <c r="J554" i="6"/>
  <c r="I563" i="6"/>
  <c r="J571" i="6"/>
  <c r="I580" i="6"/>
  <c r="J588" i="6"/>
  <c r="I597" i="6"/>
  <c r="J605" i="6"/>
  <c r="I614" i="6"/>
  <c r="J622" i="6"/>
  <c r="J631" i="6"/>
  <c r="I640" i="6"/>
  <c r="J648" i="6"/>
  <c r="I657" i="6"/>
  <c r="J665" i="6"/>
  <c r="I674" i="6"/>
  <c r="J682" i="6"/>
  <c r="J690" i="6"/>
  <c r="J698" i="6"/>
  <c r="J706" i="6"/>
  <c r="J714" i="6"/>
  <c r="J722" i="6"/>
  <c r="J730" i="6"/>
  <c r="J738" i="6"/>
  <c r="J746" i="6"/>
  <c r="J754" i="6"/>
  <c r="J762" i="6"/>
  <c r="J770" i="6"/>
  <c r="J778" i="6"/>
  <c r="J786" i="6"/>
  <c r="J794" i="6"/>
  <c r="J802" i="6"/>
  <c r="J810" i="6"/>
  <c r="J818" i="6"/>
  <c r="J826" i="6"/>
  <c r="J834" i="6"/>
  <c r="J842" i="6"/>
  <c r="J850" i="6"/>
  <c r="J858" i="6"/>
  <c r="J866" i="6"/>
  <c r="J874" i="6"/>
  <c r="J882" i="6"/>
  <c r="J890" i="6"/>
  <c r="J898" i="6"/>
  <c r="J906" i="6"/>
  <c r="J914" i="6"/>
  <c r="J922" i="6"/>
  <c r="J930" i="6"/>
  <c r="J938" i="6"/>
  <c r="J946" i="6"/>
  <c r="J954" i="6"/>
  <c r="J962" i="6"/>
  <c r="J970" i="6"/>
  <c r="J978" i="6"/>
  <c r="J986" i="6"/>
  <c r="J17" i="6"/>
  <c r="J81" i="6"/>
  <c r="J145" i="6"/>
  <c r="I180" i="6"/>
  <c r="I201" i="6"/>
  <c r="I217" i="6"/>
  <c r="I233" i="6"/>
  <c r="I249" i="6"/>
  <c r="I265" i="6"/>
  <c r="I281" i="6"/>
  <c r="I297" i="6"/>
  <c r="I313" i="6"/>
  <c r="I329" i="6"/>
  <c r="I345" i="6"/>
  <c r="I361" i="6"/>
  <c r="I377" i="6"/>
  <c r="J389" i="6"/>
  <c r="J403" i="6"/>
  <c r="J418" i="6"/>
  <c r="J433" i="6"/>
  <c r="J446" i="6"/>
  <c r="I460" i="6"/>
  <c r="I474" i="6"/>
  <c r="I484" i="6"/>
  <c r="I494" i="6"/>
  <c r="I504" i="6"/>
  <c r="J512" i="6"/>
  <c r="I521" i="6"/>
  <c r="J529" i="6"/>
  <c r="I538" i="6"/>
  <c r="J546" i="6"/>
  <c r="I555" i="6"/>
  <c r="J563" i="6"/>
  <c r="I572" i="6"/>
  <c r="J580" i="6"/>
  <c r="I589" i="6"/>
  <c r="J597" i="6"/>
  <c r="I606" i="6"/>
  <c r="J614" i="6"/>
  <c r="J623" i="6"/>
  <c r="I632" i="6"/>
  <c r="J640" i="6"/>
  <c r="I649" i="6"/>
  <c r="J657" i="6"/>
  <c r="I666" i="6"/>
  <c r="J674" i="6"/>
  <c r="I683" i="6"/>
  <c r="I691" i="6"/>
  <c r="I699" i="6"/>
  <c r="I707" i="6"/>
  <c r="I715" i="6"/>
  <c r="I723" i="6"/>
  <c r="I25" i="6"/>
  <c r="I89" i="6"/>
  <c r="I153" i="6"/>
  <c r="J182" i="6"/>
  <c r="J201" i="6"/>
  <c r="J217" i="6"/>
  <c r="J233" i="6"/>
  <c r="J249" i="6"/>
  <c r="J265" i="6"/>
  <c r="J281" i="6"/>
  <c r="J297" i="6"/>
  <c r="J313" i="6"/>
  <c r="J329" i="6"/>
  <c r="J345" i="6"/>
  <c r="J361" i="6"/>
  <c r="J377" i="6"/>
  <c r="J390" i="6"/>
  <c r="I404" i="6"/>
  <c r="I419" i="6"/>
  <c r="I434" i="6"/>
  <c r="I449" i="6"/>
  <c r="I461" i="6"/>
  <c r="J474" i="6"/>
  <c r="J484" i="6"/>
  <c r="J494" i="6"/>
  <c r="J504" i="6"/>
  <c r="I513" i="6"/>
  <c r="J521" i="6"/>
  <c r="I530" i="6"/>
  <c r="J538" i="6"/>
  <c r="I547" i="6"/>
  <c r="J555" i="6"/>
  <c r="I564" i="6"/>
  <c r="J572" i="6"/>
  <c r="I581" i="6"/>
  <c r="J589" i="6"/>
  <c r="I598" i="6"/>
  <c r="J606" i="6"/>
  <c r="J615" i="6"/>
  <c r="I624" i="6"/>
  <c r="J632" i="6"/>
  <c r="I641" i="6"/>
  <c r="J649" i="6"/>
  <c r="I658" i="6"/>
  <c r="J666" i="6"/>
  <c r="I675" i="6"/>
  <c r="J683" i="6"/>
  <c r="J691" i="6"/>
  <c r="J699" i="6"/>
  <c r="J707" i="6"/>
  <c r="J715" i="6"/>
  <c r="J723" i="6"/>
  <c r="J25" i="6"/>
  <c r="J89" i="6"/>
  <c r="J153" i="6"/>
  <c r="I185" i="6"/>
  <c r="I202" i="6"/>
  <c r="I218" i="6"/>
  <c r="I234" i="6"/>
  <c r="I250" i="6"/>
  <c r="I266" i="6"/>
  <c r="I282" i="6"/>
  <c r="I298" i="6"/>
  <c r="I314" i="6"/>
  <c r="I330" i="6"/>
  <c r="I346" i="6"/>
  <c r="I362" i="6"/>
  <c r="I378" i="6"/>
  <c r="I393" i="6"/>
  <c r="J405" i="6"/>
  <c r="J419" i="6"/>
  <c r="J434" i="6"/>
  <c r="J449" i="6"/>
  <c r="J461" i="6"/>
  <c r="I475" i="6"/>
  <c r="I485" i="6"/>
  <c r="J495" i="6"/>
  <c r="I505" i="6"/>
  <c r="J513" i="6"/>
  <c r="I522" i="6"/>
  <c r="J530" i="6"/>
  <c r="I539" i="6"/>
  <c r="J547" i="6"/>
  <c r="I556" i="6"/>
  <c r="J564" i="6"/>
  <c r="I573" i="6"/>
  <c r="J581" i="6"/>
  <c r="I590" i="6"/>
  <c r="J598" i="6"/>
  <c r="J607" i="6"/>
  <c r="I616" i="6"/>
  <c r="J624" i="6"/>
  <c r="I633" i="6"/>
  <c r="J641" i="6"/>
  <c r="I650" i="6"/>
  <c r="J658" i="6"/>
  <c r="I667" i="6"/>
  <c r="J675" i="6"/>
  <c r="I684" i="6"/>
  <c r="I692" i="6"/>
  <c r="I700" i="6"/>
  <c r="I708" i="6"/>
  <c r="I33" i="6"/>
  <c r="I97" i="6"/>
  <c r="I155" i="6"/>
  <c r="J185" i="6"/>
  <c r="I203" i="6"/>
  <c r="I219" i="6"/>
  <c r="I235" i="6"/>
  <c r="I251" i="6"/>
  <c r="I267" i="6"/>
  <c r="I283" i="6"/>
  <c r="I299" i="6"/>
  <c r="I315" i="6"/>
  <c r="I331" i="6"/>
  <c r="I347" i="6"/>
  <c r="I363" i="6"/>
  <c r="J378" i="6"/>
  <c r="J393" i="6"/>
  <c r="J406" i="6"/>
  <c r="I420" i="6"/>
  <c r="I435" i="6"/>
  <c r="I450" i="6"/>
  <c r="J462" i="6"/>
  <c r="J475" i="6"/>
  <c r="J485" i="6"/>
  <c r="I497" i="6"/>
  <c r="J505" i="6"/>
  <c r="I514" i="6"/>
  <c r="J522" i="6"/>
  <c r="I531" i="6"/>
  <c r="J539" i="6"/>
  <c r="I548" i="6"/>
  <c r="J556" i="6"/>
  <c r="I565" i="6"/>
  <c r="J573" i="6"/>
  <c r="I582" i="6"/>
  <c r="J590" i="6"/>
  <c r="J599" i="6"/>
  <c r="I608" i="6"/>
  <c r="J616" i="6"/>
  <c r="I625" i="6"/>
  <c r="J633" i="6"/>
  <c r="I642" i="6"/>
  <c r="J650" i="6"/>
  <c r="I659" i="6"/>
  <c r="J667" i="6"/>
  <c r="I676" i="6"/>
  <c r="J33" i="6"/>
  <c r="J97" i="6"/>
  <c r="I161" i="6"/>
  <c r="I187" i="6"/>
  <c r="J203" i="6"/>
  <c r="J219" i="6"/>
  <c r="J235" i="6"/>
  <c r="J251" i="6"/>
  <c r="J267" i="6"/>
  <c r="J283" i="6"/>
  <c r="J299" i="6"/>
  <c r="J315" i="6"/>
  <c r="J331" i="6"/>
  <c r="J347" i="6"/>
  <c r="J363" i="6"/>
  <c r="I379" i="6"/>
  <c r="I394" i="6"/>
  <c r="I409" i="6"/>
  <c r="J421" i="6"/>
  <c r="J435" i="6"/>
  <c r="J450" i="6"/>
  <c r="I465" i="6"/>
  <c r="I476" i="6"/>
  <c r="I486" i="6"/>
  <c r="J497" i="6"/>
  <c r="I506" i="6"/>
  <c r="J514" i="6"/>
  <c r="I523" i="6"/>
  <c r="J531" i="6"/>
  <c r="I540" i="6"/>
  <c r="I41" i="6"/>
  <c r="I105" i="6"/>
  <c r="J161" i="6"/>
  <c r="I188" i="6"/>
  <c r="I204" i="6"/>
  <c r="I220" i="6"/>
  <c r="I236" i="6"/>
  <c r="I252" i="6"/>
  <c r="I268" i="6"/>
  <c r="I284" i="6"/>
  <c r="I300" i="6"/>
  <c r="I316" i="6"/>
  <c r="I332" i="6"/>
  <c r="I348" i="6"/>
  <c r="I364" i="6"/>
  <c r="J379" i="6"/>
  <c r="J394" i="6"/>
  <c r="J409" i="6"/>
  <c r="J422" i="6"/>
  <c r="I436" i="6"/>
  <c r="I451" i="6"/>
  <c r="J465" i="6"/>
  <c r="J476" i="6"/>
  <c r="J486" i="6"/>
  <c r="I498" i="6"/>
  <c r="J506" i="6"/>
  <c r="I515" i="6"/>
  <c r="J523" i="6"/>
  <c r="I532" i="6"/>
  <c r="J540" i="6"/>
  <c r="J41" i="6"/>
  <c r="J105" i="6"/>
  <c r="I163" i="6"/>
  <c r="J189" i="6"/>
  <c r="J205" i="6"/>
  <c r="J221" i="6"/>
  <c r="J237" i="6"/>
  <c r="J253" i="6"/>
  <c r="J269" i="6"/>
  <c r="J285" i="6"/>
  <c r="J301" i="6"/>
  <c r="J317" i="6"/>
  <c r="J333" i="6"/>
  <c r="J349" i="6"/>
  <c r="J365" i="6"/>
  <c r="I380" i="6"/>
  <c r="I395" i="6"/>
  <c r="I410" i="6"/>
  <c r="I425" i="6"/>
  <c r="J437" i="6"/>
  <c r="J451" i="6"/>
  <c r="I466" i="6"/>
  <c r="I477" i="6"/>
  <c r="I489" i="6"/>
  <c r="J498" i="6"/>
  <c r="I507" i="6"/>
  <c r="I49" i="6"/>
  <c r="I113" i="6"/>
  <c r="J166" i="6"/>
  <c r="J190" i="6"/>
  <c r="J206" i="6"/>
  <c r="J222" i="6"/>
  <c r="J238" i="6"/>
  <c r="J254" i="6"/>
  <c r="J270" i="6"/>
  <c r="J286" i="6"/>
  <c r="J302" i="6"/>
  <c r="J318" i="6"/>
  <c r="J334" i="6"/>
  <c r="J350" i="6"/>
  <c r="J366" i="6"/>
  <c r="J381" i="6"/>
  <c r="J395" i="6"/>
  <c r="J410" i="6"/>
  <c r="J425" i="6"/>
  <c r="J438" i="6"/>
  <c r="I452" i="6"/>
  <c r="J466" i="6"/>
  <c r="J477" i="6"/>
  <c r="J489" i="6"/>
  <c r="I499" i="6"/>
  <c r="J507" i="6"/>
  <c r="I516" i="6"/>
  <c r="J524" i="6"/>
  <c r="I533" i="6"/>
  <c r="J541" i="6"/>
  <c r="J998" i="6"/>
  <c r="J990" i="6"/>
  <c r="I982" i="6"/>
  <c r="J973" i="6"/>
  <c r="I965" i="6"/>
  <c r="J956" i="6"/>
  <c r="I948" i="6"/>
  <c r="I939" i="6"/>
  <c r="J929" i="6"/>
  <c r="I919" i="6"/>
  <c r="I909" i="6"/>
  <c r="I899" i="6"/>
  <c r="I887" i="6"/>
  <c r="I877" i="6"/>
  <c r="I867" i="6"/>
  <c r="I855" i="6"/>
  <c r="I845" i="6"/>
  <c r="I835" i="6"/>
  <c r="I823" i="6"/>
  <c r="I813" i="6"/>
  <c r="I803" i="6"/>
  <c r="I791" i="6"/>
  <c r="I781" i="6"/>
  <c r="I771" i="6"/>
  <c r="I759" i="6"/>
  <c r="I749" i="6"/>
  <c r="I739" i="6"/>
  <c r="I727" i="6"/>
  <c r="I716" i="6"/>
  <c r="J701" i="6"/>
  <c r="J686" i="6"/>
  <c r="I670" i="6"/>
  <c r="I653" i="6"/>
  <c r="I636" i="6"/>
  <c r="I619" i="6"/>
  <c r="I602" i="6"/>
  <c r="I585" i="6"/>
  <c r="I568" i="6"/>
  <c r="J549" i="6"/>
  <c r="J499" i="6"/>
  <c r="I273" i="6"/>
  <c r="J964" i="6"/>
  <c r="I956" i="6"/>
  <c r="J947" i="6"/>
  <c r="I938" i="6"/>
  <c r="I929" i="6"/>
  <c r="J918" i="6"/>
  <c r="J908" i="6"/>
  <c r="I898" i="6"/>
  <c r="J886" i="6"/>
  <c r="J876" i="6"/>
  <c r="I866" i="6"/>
  <c r="J854" i="6"/>
  <c r="J844" i="6"/>
  <c r="I834" i="6"/>
  <c r="J822" i="6"/>
  <c r="J812" i="6"/>
  <c r="I802" i="6"/>
  <c r="J790" i="6"/>
  <c r="J780" i="6"/>
  <c r="I770" i="6"/>
  <c r="J758" i="6"/>
  <c r="J748" i="6"/>
  <c r="I738" i="6"/>
  <c r="J726" i="6"/>
  <c r="I714" i="6"/>
  <c r="I701" i="6"/>
  <c r="I686" i="6"/>
  <c r="J669" i="6"/>
  <c r="J652" i="6"/>
  <c r="J635" i="6"/>
  <c r="J618" i="6"/>
  <c r="J601" i="6"/>
  <c r="J584" i="6"/>
  <c r="J567" i="6"/>
  <c r="I549" i="6"/>
  <c r="I490" i="6"/>
  <c r="I257" i="6"/>
  <c r="I981" i="6"/>
  <c r="J972" i="6"/>
  <c r="I964" i="6"/>
  <c r="J955" i="6"/>
  <c r="I947" i="6"/>
  <c r="J937" i="6"/>
  <c r="J928" i="6"/>
  <c r="I918" i="6"/>
  <c r="I908" i="6"/>
  <c r="J897" i="6"/>
  <c r="I886" i="6"/>
  <c r="I876" i="6"/>
  <c r="J865" i="6"/>
  <c r="I854" i="6"/>
  <c r="I844" i="6"/>
  <c r="J833" i="6"/>
  <c r="I822" i="6"/>
  <c r="I812" i="6"/>
  <c r="J801" i="6"/>
  <c r="I790" i="6"/>
  <c r="I780" i="6"/>
  <c r="J769" i="6"/>
  <c r="I758" i="6"/>
  <c r="I748" i="6"/>
  <c r="J737" i="6"/>
  <c r="I726" i="6"/>
  <c r="J713" i="6"/>
  <c r="J700" i="6"/>
  <c r="J685" i="6"/>
  <c r="I669" i="6"/>
  <c r="I652" i="6"/>
  <c r="I635" i="6"/>
  <c r="I618" i="6"/>
  <c r="I601" i="6"/>
  <c r="I584" i="6"/>
  <c r="J566" i="6"/>
  <c r="J548" i="6"/>
  <c r="I478" i="6"/>
  <c r="I241" i="6"/>
  <c r="J963" i="6"/>
  <c r="I955" i="6"/>
  <c r="I946" i="6"/>
  <c r="I937" i="6"/>
  <c r="I928" i="6"/>
  <c r="J917" i="6"/>
  <c r="J907" i="6"/>
  <c r="I897" i="6"/>
  <c r="J885" i="6"/>
  <c r="J875" i="6"/>
  <c r="I865" i="6"/>
  <c r="J853" i="6"/>
  <c r="J843" i="6"/>
  <c r="I833" i="6"/>
  <c r="J821" i="6"/>
  <c r="J811" i="6"/>
  <c r="I801" i="6"/>
  <c r="J789" i="6"/>
  <c r="J779" i="6"/>
  <c r="I769" i="6"/>
  <c r="J757" i="6"/>
  <c r="J747" i="6"/>
  <c r="I737" i="6"/>
  <c r="J725" i="6"/>
  <c r="I713" i="6"/>
  <c r="I698" i="6"/>
  <c r="I685" i="6"/>
  <c r="J668" i="6"/>
  <c r="J651" i="6"/>
  <c r="J634" i="6"/>
  <c r="J617" i="6"/>
  <c r="J600" i="6"/>
  <c r="J583" i="6"/>
  <c r="I566" i="6"/>
  <c r="J545" i="6"/>
  <c r="I467" i="6"/>
  <c r="I225" i="6"/>
  <c r="J988" i="6"/>
  <c r="I963" i="6"/>
  <c r="I954" i="6"/>
  <c r="I927" i="6"/>
  <c r="I907" i="6"/>
  <c r="I885" i="6"/>
  <c r="I875" i="6"/>
  <c r="I863" i="6"/>
  <c r="I853" i="6"/>
  <c r="I843" i="6"/>
  <c r="I831" i="6"/>
  <c r="I821" i="6"/>
  <c r="I811" i="6"/>
  <c r="I799" i="6"/>
  <c r="I789" i="6"/>
  <c r="I779" i="6"/>
  <c r="I767" i="6"/>
  <c r="I757" i="6"/>
  <c r="I747" i="6"/>
  <c r="I735" i="6"/>
  <c r="I725" i="6"/>
  <c r="I711" i="6"/>
  <c r="J697" i="6"/>
  <c r="J684" i="6"/>
  <c r="I668" i="6"/>
  <c r="I651" i="6"/>
  <c r="I634" i="6"/>
  <c r="I617" i="6"/>
  <c r="I600" i="6"/>
  <c r="J582" i="6"/>
  <c r="J565" i="6"/>
  <c r="I542" i="6"/>
  <c r="J453" i="6"/>
  <c r="I209" i="6"/>
  <c r="J1004" i="6"/>
  <c r="I980" i="6"/>
  <c r="I917" i="6"/>
  <c r="I1004" i="6"/>
  <c r="I996" i="6"/>
  <c r="I988" i="6"/>
  <c r="J979" i="6"/>
  <c r="I971" i="6"/>
  <c r="I962" i="6"/>
  <c r="J953" i="6"/>
  <c r="I945" i="6"/>
  <c r="I936" i="6"/>
  <c r="J926" i="6"/>
  <c r="J916" i="6"/>
  <c r="I906" i="6"/>
  <c r="J894" i="6"/>
  <c r="J884" i="6"/>
  <c r="I874" i="6"/>
  <c r="J862" i="6"/>
  <c r="J852" i="6"/>
  <c r="I842" i="6"/>
  <c r="J830" i="6"/>
  <c r="J820" i="6"/>
  <c r="I810" i="6"/>
  <c r="J798" i="6"/>
  <c r="J788" i="6"/>
  <c r="I778" i="6"/>
  <c r="J766" i="6"/>
  <c r="J756" i="6"/>
  <c r="I746" i="6"/>
  <c r="J734" i="6"/>
  <c r="J724" i="6"/>
  <c r="J710" i="6"/>
  <c r="I697" i="6"/>
  <c r="I682" i="6"/>
  <c r="I665" i="6"/>
  <c r="I648" i="6"/>
  <c r="J630" i="6"/>
  <c r="J613" i="6"/>
  <c r="J596" i="6"/>
  <c r="J579" i="6"/>
  <c r="J562" i="6"/>
  <c r="I541" i="6"/>
  <c r="I441" i="6"/>
  <c r="I193" i="6"/>
  <c r="J996" i="6"/>
  <c r="J971" i="6"/>
  <c r="I895" i="6"/>
  <c r="J1003" i="6"/>
  <c r="J995" i="6"/>
  <c r="J987" i="6"/>
  <c r="I979" i="6"/>
  <c r="I970" i="6"/>
  <c r="J961" i="6"/>
  <c r="I953" i="6"/>
  <c r="J944" i="6"/>
  <c r="I935" i="6"/>
  <c r="I926" i="6"/>
  <c r="I916" i="6"/>
  <c r="J905" i="6"/>
  <c r="I894" i="6"/>
  <c r="I884" i="6"/>
  <c r="J873" i="6"/>
  <c r="I862" i="6"/>
  <c r="I852" i="6"/>
  <c r="J841" i="6"/>
  <c r="I830" i="6"/>
  <c r="I820" i="6"/>
  <c r="J809" i="6"/>
  <c r="I798" i="6"/>
  <c r="I788" i="6"/>
  <c r="J777" i="6"/>
  <c r="I766" i="6"/>
  <c r="I756" i="6"/>
  <c r="J745" i="6"/>
  <c r="I734" i="6"/>
  <c r="I724" i="6"/>
  <c r="I710" i="6"/>
  <c r="I695" i="6"/>
  <c r="J681" i="6"/>
  <c r="J664" i="6"/>
  <c r="J647" i="6"/>
  <c r="I630" i="6"/>
  <c r="I613" i="6"/>
  <c r="I596" i="6"/>
  <c r="I579" i="6"/>
  <c r="I562" i="6"/>
  <c r="I537" i="6"/>
  <c r="I426" i="6"/>
  <c r="I169" i="6"/>
  <c r="J936" i="6"/>
  <c r="I1003" i="6"/>
  <c r="I995" i="6"/>
  <c r="I987" i="6"/>
  <c r="I978" i="6"/>
  <c r="J969" i="6"/>
  <c r="I961" i="6"/>
  <c r="J952" i="6"/>
  <c r="I944" i="6"/>
  <c r="J934" i="6"/>
  <c r="J925" i="6"/>
  <c r="J915" i="6"/>
  <c r="I905" i="6"/>
  <c r="J893" i="6"/>
  <c r="J883" i="6"/>
  <c r="I873" i="6"/>
  <c r="J861" i="6"/>
  <c r="J851" i="6"/>
  <c r="I841" i="6"/>
  <c r="J829" i="6"/>
  <c r="J819" i="6"/>
  <c r="I809" i="6"/>
  <c r="J797" i="6"/>
  <c r="J787" i="6"/>
  <c r="I777" i="6"/>
  <c r="J765" i="6"/>
  <c r="J755" i="6"/>
  <c r="I745" i="6"/>
  <c r="J733" i="6"/>
  <c r="I722" i="6"/>
  <c r="J709" i="6"/>
  <c r="J694" i="6"/>
  <c r="I681" i="6"/>
  <c r="I664" i="6"/>
  <c r="J646" i="6"/>
  <c r="J629" i="6"/>
  <c r="J612" i="6"/>
  <c r="J595" i="6"/>
  <c r="J578" i="6"/>
  <c r="J559" i="6"/>
  <c r="J533" i="6"/>
  <c r="I411" i="6"/>
  <c r="J113" i="6"/>
  <c r="J945" i="6"/>
  <c r="J1002" i="6"/>
  <c r="J994" i="6"/>
  <c r="I986" i="6"/>
  <c r="J977" i="6"/>
  <c r="I969" i="6"/>
  <c r="J960" i="6"/>
  <c r="I952" i="6"/>
  <c r="I943" i="6"/>
  <c r="I934" i="6"/>
  <c r="I925" i="6"/>
  <c r="I915" i="6"/>
  <c r="I903" i="6"/>
  <c r="I893" i="6"/>
  <c r="I883" i="6"/>
  <c r="I871" i="6"/>
  <c r="I861" i="6"/>
  <c r="I851" i="6"/>
  <c r="I839" i="6"/>
  <c r="I829" i="6"/>
  <c r="I819" i="6"/>
  <c r="I807" i="6"/>
  <c r="I797" i="6"/>
  <c r="I787" i="6"/>
  <c r="I775" i="6"/>
  <c r="I765" i="6"/>
  <c r="I755" i="6"/>
  <c r="I743" i="6"/>
  <c r="I733" i="6"/>
  <c r="J721" i="6"/>
  <c r="I709" i="6"/>
  <c r="I694" i="6"/>
  <c r="J678" i="6"/>
  <c r="J661" i="6"/>
  <c r="J644" i="6"/>
  <c r="J627" i="6"/>
  <c r="J610" i="6"/>
  <c r="J593" i="6"/>
  <c r="J576" i="6"/>
  <c r="J558" i="6"/>
  <c r="J532" i="6"/>
  <c r="I396" i="6"/>
  <c r="J49" i="6"/>
  <c r="I1002" i="6"/>
  <c r="I994" i="6"/>
  <c r="J985" i="6"/>
  <c r="I977" i="6"/>
  <c r="J968" i="6"/>
  <c r="I960" i="6"/>
  <c r="J951" i="6"/>
  <c r="J942" i="6"/>
  <c r="J933" i="6"/>
  <c r="J924" i="6"/>
  <c r="I914" i="6"/>
  <c r="J902" i="6"/>
  <c r="J892" i="6"/>
  <c r="I882" i="6"/>
  <c r="J870" i="6"/>
  <c r="J860" i="6"/>
  <c r="I850" i="6"/>
  <c r="J838" i="6"/>
  <c r="J828" i="6"/>
  <c r="I818" i="6"/>
  <c r="J806" i="6"/>
  <c r="J796" i="6"/>
  <c r="I786" i="6"/>
  <c r="J774" i="6"/>
  <c r="J764" i="6"/>
  <c r="I754" i="6"/>
  <c r="J742" i="6"/>
  <c r="J732" i="6"/>
  <c r="I721" i="6"/>
  <c r="J708" i="6"/>
  <c r="J693" i="6"/>
  <c r="I678" i="6"/>
  <c r="I661" i="6"/>
  <c r="I644" i="6"/>
  <c r="I627" i="6"/>
  <c r="I610" i="6"/>
  <c r="I593" i="6"/>
  <c r="I576" i="6"/>
  <c r="I558" i="6"/>
  <c r="J528" i="6"/>
  <c r="J382" i="6"/>
  <c r="J1001" i="6"/>
  <c r="J993" i="6"/>
  <c r="I985" i="6"/>
  <c r="J976" i="6"/>
  <c r="I968" i="6"/>
  <c r="J959" i="6"/>
  <c r="I951" i="6"/>
  <c r="I942" i="6"/>
  <c r="I933" i="6"/>
  <c r="I924" i="6"/>
  <c r="J913" i="6"/>
  <c r="I902" i="6"/>
  <c r="I892" i="6"/>
  <c r="J881" i="6"/>
  <c r="I870" i="6"/>
  <c r="I860" i="6"/>
  <c r="J849" i="6"/>
  <c r="I838" i="6"/>
  <c r="I828" i="6"/>
  <c r="J817" i="6"/>
  <c r="I806" i="6"/>
  <c r="I796" i="6"/>
  <c r="J785" i="6"/>
  <c r="I774" i="6"/>
  <c r="I764" i="6"/>
  <c r="J753" i="6"/>
  <c r="I742" i="6"/>
  <c r="I732" i="6"/>
  <c r="I719" i="6"/>
  <c r="I706" i="6"/>
  <c r="I693" i="6"/>
  <c r="J677" i="6"/>
  <c r="J660" i="6"/>
  <c r="J643" i="6"/>
  <c r="J626" i="6"/>
  <c r="J609" i="6"/>
  <c r="J592" i="6"/>
  <c r="J575" i="6"/>
  <c r="J557" i="6"/>
  <c r="I525" i="6"/>
  <c r="I369" i="6"/>
  <c r="I993" i="6"/>
  <c r="J967" i="6"/>
  <c r="I959" i="6"/>
  <c r="J950" i="6"/>
  <c r="J941" i="6"/>
  <c r="J932" i="6"/>
  <c r="J923" i="6"/>
  <c r="I913" i="6"/>
  <c r="J901" i="6"/>
  <c r="J891" i="6"/>
  <c r="I881" i="6"/>
  <c r="J869" i="6"/>
  <c r="J859" i="6"/>
  <c r="I849" i="6"/>
  <c r="J837" i="6"/>
  <c r="J827" i="6"/>
  <c r="I817" i="6"/>
  <c r="J805" i="6"/>
  <c r="J795" i="6"/>
  <c r="I785" i="6"/>
  <c r="J773" i="6"/>
  <c r="J763" i="6"/>
  <c r="I753" i="6"/>
  <c r="J741" i="6"/>
  <c r="J731" i="6"/>
  <c r="J718" i="6"/>
  <c r="J705" i="6"/>
  <c r="J692" i="6"/>
  <c r="I677" i="6"/>
  <c r="I660" i="6"/>
  <c r="I643" i="6"/>
  <c r="I626" i="6"/>
  <c r="I609" i="6"/>
  <c r="I592" i="6"/>
  <c r="J574" i="6"/>
  <c r="I557" i="6"/>
  <c r="I524" i="6"/>
  <c r="I353" i="6"/>
  <c r="I1001" i="6"/>
  <c r="J1000" i="6"/>
  <c r="J975" i="6"/>
  <c r="I967" i="6"/>
  <c r="J958" i="6"/>
  <c r="I950" i="6"/>
  <c r="I941" i="6"/>
  <c r="I932" i="6"/>
  <c r="I923" i="6"/>
  <c r="I911" i="6"/>
  <c r="I901" i="6"/>
  <c r="I891" i="6"/>
  <c r="I879" i="6"/>
  <c r="I869" i="6"/>
  <c r="I859" i="6"/>
  <c r="I847" i="6"/>
  <c r="I837" i="6"/>
  <c r="I827" i="6"/>
  <c r="I815" i="6"/>
  <c r="I805" i="6"/>
  <c r="I795" i="6"/>
  <c r="I783" i="6"/>
  <c r="I773" i="6"/>
  <c r="I763" i="6"/>
  <c r="I751" i="6"/>
  <c r="I741" i="6"/>
  <c r="I731" i="6"/>
  <c r="I718" i="6"/>
  <c r="I705" i="6"/>
  <c r="I690" i="6"/>
  <c r="J676" i="6"/>
  <c r="J659" i="6"/>
  <c r="J642" i="6"/>
  <c r="J625" i="6"/>
  <c r="J608" i="6"/>
  <c r="J591" i="6"/>
  <c r="I574" i="6"/>
  <c r="I554" i="6"/>
  <c r="I520" i="6"/>
  <c r="I337" i="6"/>
  <c r="J984" i="6"/>
  <c r="J992" i="6"/>
  <c r="I1000" i="6"/>
  <c r="I992" i="6"/>
  <c r="J983" i="6"/>
  <c r="I975" i="6"/>
  <c r="J966" i="6"/>
  <c r="I958" i="6"/>
  <c r="J949" i="6"/>
  <c r="J940" i="6"/>
  <c r="J931" i="6"/>
  <c r="I922" i="6"/>
  <c r="J910" i="6"/>
  <c r="J900" i="6"/>
  <c r="I890" i="6"/>
  <c r="J878" i="6"/>
  <c r="J868" i="6"/>
  <c r="I858" i="6"/>
  <c r="J846" i="6"/>
  <c r="J836" i="6"/>
  <c r="I826" i="6"/>
  <c r="J814" i="6"/>
  <c r="J804" i="6"/>
  <c r="I794" i="6"/>
  <c r="J782" i="6"/>
  <c r="J772" i="6"/>
  <c r="I762" i="6"/>
  <c r="J750" i="6"/>
  <c r="J740" i="6"/>
  <c r="I730" i="6"/>
  <c r="J717" i="6"/>
  <c r="I703" i="6"/>
  <c r="J689" i="6"/>
  <c r="J673" i="6"/>
  <c r="J656" i="6"/>
  <c r="J639" i="6"/>
  <c r="I622" i="6"/>
  <c r="I605" i="6"/>
  <c r="I588" i="6"/>
  <c r="I571" i="6"/>
  <c r="J553" i="6"/>
  <c r="J516" i="6"/>
  <c r="I321" i="6"/>
  <c r="I976" i="6"/>
  <c r="I984" i="6"/>
  <c r="J999" i="6"/>
  <c r="J991" i="6"/>
  <c r="I983" i="6"/>
  <c r="J974" i="6"/>
  <c r="I966" i="6"/>
  <c r="J957" i="6"/>
  <c r="I949" i="6"/>
  <c r="I940" i="6"/>
  <c r="I931" i="6"/>
  <c r="J921" i="6"/>
  <c r="I910" i="6"/>
  <c r="I900" i="6"/>
  <c r="J889" i="6"/>
  <c r="I878" i="6"/>
  <c r="I868" i="6"/>
  <c r="J857" i="6"/>
  <c r="I846" i="6"/>
  <c r="I836" i="6"/>
  <c r="J825" i="6"/>
  <c r="I814" i="6"/>
  <c r="I804" i="6"/>
  <c r="J793" i="6"/>
  <c r="I782" i="6"/>
  <c r="I772" i="6"/>
  <c r="J761" i="6"/>
  <c r="I750" i="6"/>
  <c r="I740" i="6"/>
  <c r="J729" i="6"/>
  <c r="I717" i="6"/>
  <c r="J702" i="6"/>
  <c r="I689" i="6"/>
  <c r="I673" i="6"/>
  <c r="I656" i="6"/>
  <c r="J638" i="6"/>
  <c r="J621" i="6"/>
  <c r="J604" i="6"/>
  <c r="J587" i="6"/>
  <c r="J570" i="6"/>
  <c r="J550" i="6"/>
  <c r="J515" i="6"/>
  <c r="I305" i="6"/>
  <c r="M7" i="4"/>
  <c r="N6" i="4" s="1"/>
  <c r="F10" i="1" l="1"/>
  <c r="J9" i="3"/>
  <c r="P7" i="1"/>
  <c r="C4" i="6"/>
  <c r="C5" i="6" s="1"/>
  <c r="B4" i="6"/>
  <c r="B5" i="6" s="1"/>
  <c r="M6" i="1"/>
  <c r="C21" i="5" l="1"/>
  <c r="D21" i="5" s="1"/>
  <c r="E21" i="5" s="1"/>
  <c r="G21" i="5" s="1"/>
  <c r="E5" i="2"/>
  <c r="G8" i="1" s="1"/>
  <c r="F9" i="1"/>
  <c r="F11" i="1"/>
  <c r="F13" i="1"/>
  <c r="F14" i="1"/>
  <c r="E4" i="2"/>
  <c r="G7" i="1" s="1"/>
  <c r="F15" i="1"/>
  <c r="F18" i="1"/>
  <c r="F17" i="1"/>
  <c r="E2" i="2"/>
  <c r="E3" i="2"/>
  <c r="G6" i="1" s="1"/>
  <c r="F16" i="1"/>
  <c r="O6" i="1"/>
  <c r="B8" i="6"/>
  <c r="B12" i="6" s="1"/>
  <c r="B14" i="6" s="1"/>
  <c r="M7" i="1"/>
  <c r="N6" i="1" s="1"/>
  <c r="E2" i="5"/>
  <c r="G2" i="5" s="1"/>
  <c r="E3" i="5"/>
  <c r="G3" i="5" s="1"/>
  <c r="E4" i="5"/>
  <c r="G4" i="5" s="1"/>
  <c r="E5" i="5"/>
  <c r="G5" i="5" s="1"/>
  <c r="F9" i="4"/>
  <c r="C7" i="2"/>
  <c r="D7" i="2" s="1"/>
  <c r="E7" i="2" s="1"/>
  <c r="C17" i="2" l="1"/>
  <c r="D17" i="2" s="1"/>
  <c r="E17" i="2" s="1"/>
  <c r="C18" i="2"/>
  <c r="D18" i="2" s="1"/>
  <c r="E18" i="2" s="1"/>
  <c r="F12" i="1"/>
  <c r="C9" i="2" s="1"/>
  <c r="D9" i="2" s="1"/>
  <c r="E9" i="2" s="1"/>
  <c r="C10" i="5"/>
  <c r="D10" i="5" s="1"/>
  <c r="E10" i="5" s="1"/>
  <c r="G10" i="5" s="1"/>
  <c r="C12" i="5"/>
  <c r="D12" i="5" s="1"/>
  <c r="E12" i="5" s="1"/>
  <c r="G12" i="5" s="1"/>
  <c r="C15" i="2"/>
  <c r="D15" i="2" s="1"/>
  <c r="E15" i="2" s="1"/>
  <c r="C19" i="5"/>
  <c r="D19" i="5" s="1"/>
  <c r="E19" i="5" s="1"/>
  <c r="G19" i="5" s="1"/>
  <c r="C14" i="2"/>
  <c r="D14" i="2" s="1"/>
  <c r="E14" i="2" s="1"/>
  <c r="C12" i="2"/>
  <c r="D12" i="2" s="1"/>
  <c r="E12" i="2" s="1"/>
  <c r="C8" i="2"/>
  <c r="D8" i="2" s="1"/>
  <c r="E8" i="2" s="1"/>
  <c r="C17" i="5"/>
  <c r="D17" i="5" s="1"/>
  <c r="E17" i="5" s="1"/>
  <c r="G17" i="5" s="1"/>
  <c r="C6" i="2"/>
  <c r="D6" i="2" s="1"/>
  <c r="E6" i="2" s="1"/>
  <c r="C21" i="2"/>
  <c r="D21" i="2" s="1"/>
  <c r="E21" i="2" s="1"/>
  <c r="C20" i="2"/>
  <c r="D20" i="2" s="1"/>
  <c r="E20" i="2" s="1"/>
  <c r="C16" i="2"/>
  <c r="D16" i="2" s="1"/>
  <c r="E16" i="2" s="1"/>
  <c r="C11" i="5"/>
  <c r="D11" i="5" s="1"/>
  <c r="E11" i="5" s="1"/>
  <c r="G11" i="5" s="1"/>
  <c r="C6" i="5"/>
  <c r="D6" i="5" s="1"/>
  <c r="E6" i="5" s="1"/>
  <c r="G6" i="5" s="1"/>
  <c r="C9" i="5"/>
  <c r="D9" i="5" s="1"/>
  <c r="E9" i="5" s="1"/>
  <c r="G9" i="5" s="1"/>
  <c r="C18" i="5"/>
  <c r="D18" i="5" s="1"/>
  <c r="E18" i="5" s="1"/>
  <c r="G18" i="5" s="1"/>
  <c r="C10" i="2"/>
  <c r="D10" i="2" s="1"/>
  <c r="E10" i="2" s="1"/>
  <c r="C13" i="2"/>
  <c r="D13" i="2" s="1"/>
  <c r="E13" i="2" s="1"/>
  <c r="C16" i="5"/>
  <c r="D16" i="5" s="1"/>
  <c r="E16" i="5" s="1"/>
  <c r="G16" i="5" s="1"/>
  <c r="C20" i="5"/>
  <c r="D20" i="5" s="1"/>
  <c r="E20" i="5" s="1"/>
  <c r="G20" i="5" s="1"/>
  <c r="C11" i="2"/>
  <c r="D11" i="2" s="1"/>
  <c r="E11" i="2" s="1"/>
  <c r="C15" i="5"/>
  <c r="D15" i="5" s="1"/>
  <c r="E15" i="5" s="1"/>
  <c r="G15" i="5" s="1"/>
  <c r="C14" i="5"/>
  <c r="D14" i="5" s="1"/>
  <c r="E14" i="5" s="1"/>
  <c r="G14" i="5" s="1"/>
  <c r="C19" i="2"/>
  <c r="D19" i="2" s="1"/>
  <c r="E19" i="2" s="1"/>
  <c r="C8" i="5"/>
  <c r="D8" i="5" s="1"/>
  <c r="E8" i="5" s="1"/>
  <c r="G8" i="5" s="1"/>
  <c r="C7" i="5"/>
  <c r="D7" i="5" s="1"/>
  <c r="E7" i="5" s="1"/>
  <c r="G7" i="5" s="1"/>
  <c r="C13" i="5"/>
  <c r="D13" i="5" s="1"/>
  <c r="E13" i="5" s="1"/>
  <c r="G13" i="5" s="1"/>
  <c r="B15" i="6"/>
  <c r="K9" i="3" s="1"/>
  <c r="I9" i="3"/>
  <c r="O7" i="1"/>
  <c r="G24" i="4"/>
  <c r="G8" i="4"/>
  <c r="G6" i="4"/>
  <c r="G7" i="4"/>
  <c r="G5" i="4"/>
  <c r="G5" i="1"/>
  <c r="G10" i="1"/>
  <c r="G7" i="2" s="1"/>
  <c r="G15" i="1" l="1"/>
  <c r="G12" i="2" s="1"/>
  <c r="G21" i="1"/>
  <c r="G18" i="2" s="1"/>
  <c r="G20" i="1"/>
  <c r="G17" i="2" s="1"/>
  <c r="G12" i="1"/>
  <c r="G9" i="2" s="1"/>
  <c r="G11" i="1"/>
  <c r="G8" i="2" s="1"/>
  <c r="G18" i="1"/>
  <c r="G15" i="2" s="1"/>
  <c r="G17" i="1"/>
  <c r="G14" i="2" s="1"/>
  <c r="G24" i="1"/>
  <c r="G21" i="2" s="1"/>
  <c r="G9" i="1"/>
  <c r="G6" i="2" s="1"/>
  <c r="G16" i="1"/>
  <c r="G13" i="2" s="1"/>
  <c r="G22" i="1"/>
  <c r="G19" i="2" s="1"/>
  <c r="G13" i="1"/>
  <c r="G10" i="2" s="1"/>
  <c r="G19" i="1"/>
  <c r="G16" i="2" s="1"/>
  <c r="G14" i="1"/>
  <c r="G11" i="2" s="1"/>
  <c r="G23" i="1"/>
  <c r="G20" i="2" s="1"/>
  <c r="J2" i="5" a="1"/>
  <c r="J2" i="5" s="1"/>
  <c r="G11" i="4"/>
  <c r="G20" i="4"/>
  <c r="G17" i="4"/>
  <c r="G23" i="4"/>
  <c r="G21" i="4"/>
  <c r="G19" i="4"/>
  <c r="G22" i="4"/>
  <c r="G14" i="4"/>
  <c r="G18" i="4"/>
  <c r="G13" i="4"/>
  <c r="G16" i="4"/>
  <c r="G12" i="4"/>
  <c r="G15" i="4"/>
  <c r="G10" i="4"/>
  <c r="G9" i="4"/>
  <c r="J2" i="2" l="1" a="1"/>
  <c r="J2" i="2" s="1"/>
  <c r="K2" i="2" a="1"/>
  <c r="K2" i="2" s="1"/>
  <c r="K2" i="5" a="1"/>
  <c r="K2" i="5" s="1"/>
  <c r="U4" i="2" l="1"/>
  <c r="U6" i="2"/>
  <c r="U5" i="2"/>
  <c r="U5" i="5"/>
  <c r="U6" i="5"/>
  <c r="U4" i="5"/>
  <c r="V4" i="2" l="1"/>
  <c r="V5" i="2"/>
  <c r="F30" i="1" s="1"/>
  <c r="V6" i="2"/>
  <c r="V4" i="5"/>
  <c r="V5" i="5"/>
  <c r="V8" i="5" s="1"/>
  <c r="E30" i="4" s="1"/>
  <c r="V6" i="5"/>
  <c r="Y4" i="2" l="1"/>
  <c r="E31" i="1" s="1"/>
  <c r="V8" i="2"/>
  <c r="E30" i="1" s="1"/>
  <c r="Y4" i="5"/>
  <c r="E31" i="4" s="1"/>
  <c r="F3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<sst xmlns="http://schemas.openxmlformats.org/spreadsheetml/2006/main" count="273" uniqueCount="91">
  <si>
    <t>age</t>
  </si>
  <si>
    <t>gender</t>
  </si>
  <si>
    <t>karn</t>
  </si>
  <si>
    <t>corm</t>
  </si>
  <si>
    <t>con2Abs</t>
  </si>
  <si>
    <t>IFNg</t>
  </si>
  <si>
    <t>IL10</t>
  </si>
  <si>
    <t>IL2</t>
  </si>
  <si>
    <t>IL6</t>
  </si>
  <si>
    <t>TNFa</t>
  </si>
  <si>
    <t>CD3</t>
  </si>
  <si>
    <t>CD4</t>
  </si>
  <si>
    <t>CD56</t>
  </si>
  <si>
    <t>CD8</t>
  </si>
  <si>
    <t>CoV_2_STs</t>
  </si>
  <si>
    <t>CPK</t>
  </si>
  <si>
    <t>CRP</t>
  </si>
  <si>
    <t>DD</t>
  </si>
  <si>
    <t>Ferrit</t>
  </si>
  <si>
    <t>LDH</t>
  </si>
  <si>
    <t>WBC</t>
  </si>
  <si>
    <t>Units</t>
  </si>
  <si>
    <t>Lower Bound</t>
  </si>
  <si>
    <t>Upper Bound</t>
  </si>
  <si>
    <t>-</t>
  </si>
  <si>
    <t>Value at 0 day</t>
  </si>
  <si>
    <t>Treatment</t>
  </si>
  <si>
    <t>Random Value at 5th day</t>
  </si>
  <si>
    <t>All at 5 d</t>
  </si>
  <si>
    <t>Average</t>
  </si>
  <si>
    <t>Stdev</t>
  </si>
  <si>
    <t>Standard_scaled</t>
  </si>
  <si>
    <t>Eig_1</t>
  </si>
  <si>
    <t>Eig_2</t>
  </si>
  <si>
    <t>X</t>
  </si>
  <si>
    <t>Y</t>
  </si>
  <si>
    <t>p_LDA</t>
  </si>
  <si>
    <t>Alive_and_Healthy</t>
  </si>
  <si>
    <t>Dead</t>
  </si>
  <si>
    <t>Alive_with_disease</t>
  </si>
  <si>
    <t>Probabilities</t>
  </si>
  <si>
    <t>Alive</t>
  </si>
  <si>
    <t>Counter</t>
  </si>
  <si>
    <t>0&lt;50 years, 1&gt;=50 years</t>
  </si>
  <si>
    <t>1: 100-90, 2: 80-70, 3:60-50</t>
  </si>
  <si>
    <t>1: 0, 2:1, 3:2, 4:&gt;2</t>
  </si>
  <si>
    <t>CoV_2_STs + SOC</t>
  </si>
  <si>
    <t>Patients treated with COV-2-STs with SOC</t>
  </si>
  <si>
    <t>Patients treated with SOC only</t>
  </si>
  <si>
    <t>1: no, 2: one, 3: two, 4: more than two</t>
  </si>
  <si>
    <t xml:space="preserve">μg/mL </t>
  </si>
  <si>
    <t>pg/mL</t>
  </si>
  <si>
    <t>cells/μL</t>
  </si>
  <si>
    <t xml:space="preserve">cells/μL </t>
  </si>
  <si>
    <t>SFC/5⸱105 PBMCs</t>
  </si>
  <si>
    <t>units/L</t>
  </si>
  <si>
    <t>g/dL</t>
  </si>
  <si>
    <t>μg/mL</t>
  </si>
  <si>
    <t>ng/mL</t>
  </si>
  <si>
    <t>⸱103 cells/μL</t>
  </si>
  <si>
    <t>1: Female, 2: male</t>
  </si>
  <si>
    <t>Outcome</t>
  </si>
  <si>
    <t>Total</t>
  </si>
  <si>
    <t>Both</t>
  </si>
  <si>
    <t>SoC</t>
  </si>
  <si>
    <t>RANK</t>
  </si>
  <si>
    <t>U</t>
  </si>
  <si>
    <t>a</t>
  </si>
  <si>
    <t>tails</t>
  </si>
  <si>
    <t>u</t>
  </si>
  <si>
    <t>average</t>
  </si>
  <si>
    <t>std</t>
  </si>
  <si>
    <t>variance</t>
  </si>
  <si>
    <t>z</t>
  </si>
  <si>
    <t>pvalue</t>
  </si>
  <si>
    <t>pH0</t>
  </si>
  <si>
    <t>Mann Whitney Test Conclusion</t>
  </si>
  <si>
    <t>https://real-statistics.com/non-parametric-tests/mann-whitney-test/</t>
  </si>
  <si>
    <t>⸱1000 cells/μL</t>
  </si>
  <si>
    <t>CoV-2-STs+SoC</t>
  </si>
  <si>
    <t>Step 1: Insert data of a patient at day-0</t>
  </si>
  <si>
    <t>0: no, 1: at least one</t>
  </si>
  <si>
    <t>prob_alive</t>
  </si>
  <si>
    <t>Prob_alive</t>
  </si>
  <si>
    <t>Age</t>
  </si>
  <si>
    <t>Gender</t>
  </si>
  <si>
    <t>Karn.</t>
  </si>
  <si>
    <t>Corm</t>
  </si>
  <si>
    <t>Survival probabilities of each group in each treatment</t>
  </si>
  <si>
    <t>Cov-2-STs with SoC</t>
  </si>
  <si>
    <t>SoC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</si>
</sst>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1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1"/>
    <xf numFmtId="0" fontId="4" fillId="0" borderId="4" xfId="0" applyFont="1" applyBorder="1"/>
    <xf numFmtId="0" fontId="5" fillId="0" borderId="5" xfId="0" applyFont="1" applyBorder="1"/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6" borderId="0" xfId="0" applyFill="1"/>
    <xf numFmtId="0" fontId="5" fillId="6" borderId="0" xfId="0" applyFont="1" applyFill="1"/>
    <xf numFmtId="0" fontId="4" fillId="6" borderId="0" xfId="0" applyFont="1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4" fillId="6" borderId="1" xfId="0" applyFont="1" applyFill="1" applyBorder="1"/>
    <xf numFmtId="0" fontId="4" fillId="6" borderId="3" xfId="0" applyFont="1" applyFill="1" applyBorder="1"/>
    <xf numFmtId="0" fontId="5" fillId="6" borderId="4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3" borderId="0" xfId="0" applyFont="1" applyFill="1" applyAlignment="1">
      <alignment horizontal="center"/>
    </xf>
    <xf numFmtId="0" fontId="5" fillId="6" borderId="5" xfId="0" applyFont="1" applyFill="1" applyBorder="1"/>
    <xf numFmtId="0" fontId="5" fillId="6" borderId="6" xfId="0" applyFont="1" applyFill="1" applyBorder="1" applyAlignment="1">
      <alignment horizontal="center"/>
    </xf>
    <xf numFmtId="0" fontId="4" fillId="6" borderId="8" xfId="0" applyFont="1" applyFill="1" applyBorder="1"/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0" fillId="7" borderId="0" xfId="0" applyFill="1"/>
    <xf numFmtId="0" fontId="1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Comparisons between the two treatments</a:t>
            </a:r>
          </a:p>
        </c:rich>
      </c:tx>
      <c:layout>
        <c:manualLayout>
          <c:xMode val="edge"/>
          <c:yMode val="edge"/>
          <c:x val="0.15198973094679319"/>
          <c:y val="2.4208559600234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Benefited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both!$A$35:$A$36</c:f>
              <c:strCache>
                <c:ptCount val="2"/>
                <c:pt idx="0">
                  <c:v>CoV-2-STs+SoC</c:v>
                </c:pt>
                <c:pt idx="1">
                  <c:v>SoC</c:v>
                </c:pt>
              </c:strCache>
            </c:strRef>
          </c:cat>
          <c:val>
            <c:numRef>
              <c:f>both!$O$6:$P$6</c:f>
              <c:numCache>
                <c:formatCode>General</c:formatCode>
                <c:ptCount val="2"/>
                <c:pt idx="0">
                  <c:v>0.74299999999999999</c:v>
                </c:pt>
                <c:pt idx="1">
                  <c:v>0.155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4-4983-BB19-184D631E2C77}"/>
            </c:ext>
          </c:extLst>
        </c:ser>
        <c:ser>
          <c:idx val="1"/>
          <c:order val="1"/>
          <c:tx>
            <c:v>Critical case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both!$A$35:$A$36</c:f>
              <c:strCache>
                <c:ptCount val="2"/>
                <c:pt idx="0">
                  <c:v>CoV-2-STs+SoC</c:v>
                </c:pt>
                <c:pt idx="1">
                  <c:v>SoC</c:v>
                </c:pt>
              </c:strCache>
            </c:strRef>
          </c:cat>
          <c:val>
            <c:numRef>
              <c:f>both!$O$7:$P$7</c:f>
              <c:numCache>
                <c:formatCode>General</c:formatCode>
                <c:ptCount val="2"/>
                <c:pt idx="0">
                  <c:v>0.25700000000000001</c:v>
                </c:pt>
                <c:pt idx="1">
                  <c:v>0.84499999999999997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4-4983-BB19-184D631E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6132464"/>
        <c:axId val="975574336"/>
      </c:barChart>
      <c:catAx>
        <c:axId val="96613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75574336"/>
        <c:crosses val="autoZero"/>
        <c:auto val="1"/>
        <c:lblAlgn val="ctr"/>
        <c:lblOffset val="100"/>
        <c:noMultiLvlLbl val="0"/>
      </c:catAx>
      <c:valAx>
        <c:axId val="975574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613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="1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3113</xdr:colOff>
      <xdr:row>2</xdr:row>
      <xdr:rowOff>167944</xdr:rowOff>
    </xdr:from>
    <xdr:to>
      <xdr:col>10</xdr:col>
      <xdr:colOff>1595004</xdr:colOff>
      <xdr:row>4</xdr:row>
      <xdr:rowOff>133178</xdr:rowOff>
    </xdr:to>
    <xdr:sp macro="[0]!MonteCarloSim" textlink="">
      <xdr:nvSpPr>
        <xdr:cNvPr id="2" name="Rectangle 1">
          <a:extLst>
            <a:ext uri="{FF2B5EF4-FFF2-40B4-BE49-F238E27FC236}">
              <a16:creationId xmlns:a16="http://schemas.microsoft.com/office/drawing/2014/main" id="{21A7B5BA-AEE0-47C1-A331-7AD0DA9D7E70}"/>
            </a:ext>
          </a:extLst>
        </xdr:cNvPr>
        <xdr:cNvSpPr/>
      </xdr:nvSpPr>
      <xdr:spPr>
        <a:xfrm>
          <a:off x="9178863" y="538361"/>
          <a:ext cx="5211391" cy="57906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latin typeface="Times New Roman" panose="02020603050405020304" pitchFamily="18" charset="0"/>
              <a:cs typeface="Times New Roman" panose="02020603050405020304" pitchFamily="18" charset="0"/>
            </a:rPr>
            <a:t>Step 2: Press </a:t>
          </a:r>
          <a:r>
            <a:rPr lang="en-US" sz="1500" b="1" u="sng">
              <a:latin typeface="Times New Roman" panose="02020603050405020304" pitchFamily="18" charset="0"/>
              <a:cs typeface="Times New Roman" panose="02020603050405020304" pitchFamily="18" charset="0"/>
            </a:rPr>
            <a:t>here</a:t>
          </a:r>
          <a:r>
            <a:rPr lang="en-US" sz="1500" b="1">
              <a:latin typeface="Times New Roman" panose="02020603050405020304" pitchFamily="18" charset="0"/>
              <a:cs typeface="Times New Roman" panose="02020603050405020304" pitchFamily="18" charset="0"/>
            </a:rPr>
            <a:t> to test</a:t>
          </a:r>
          <a:r>
            <a:rPr lang="en-US" sz="15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both treatments efficacy </a:t>
          </a:r>
          <a:endParaRPr lang="en-US" sz="15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289490</xdr:colOff>
      <xdr:row>11</xdr:row>
      <xdr:rowOff>37602</xdr:rowOff>
    </xdr:from>
    <xdr:to>
      <xdr:col>11</xdr:col>
      <xdr:colOff>96796</xdr:colOff>
      <xdr:row>28</xdr:row>
      <xdr:rowOff>116082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82C4DB-DA72-40A4-80A7-AFA1431D1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-statistics.com/non-parametric-tests/mann-whitney-te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E608-D8B2-431E-BF4E-E9B5F6747707}">
  <sheetPr codeName="Sheet3"/>
  <dimension ref="A1:BO139"/>
  <sheetViews>
    <sheetView tabSelected="1" topLeftCell="A2" zoomScale="90" zoomScaleNormal="90" workbookViewId="0">
      <selection activeCell="G10" sqref="G10"/>
    </sheetView>
  </sheetViews>
  <sheetFormatPr defaultRowHeight="14.4" x14ac:dyDescent="0.3"/>
  <cols>
    <col min="1" max="1" width="16.109375" bestFit="1" customWidth="1"/>
    <col min="2" max="2" width="36.6640625" bestFit="1" customWidth="1"/>
    <col min="3" max="3" width="23.6640625" bestFit="1" customWidth="1"/>
    <col min="4" max="4" width="17.33203125" bestFit="1" customWidth="1"/>
    <col min="8" max="8" width="13.109375" customWidth="1"/>
    <col min="9" max="9" width="32.44140625" customWidth="1"/>
    <col min="10" max="10" width="20.33203125" customWidth="1"/>
    <col min="11" max="11" width="30" customWidth="1"/>
    <col min="12" max="12" width="9.5546875" customWidth="1"/>
    <col min="13" max="24" width="8.88671875" customWidth="1"/>
    <col min="26" max="35" width="8.88671875" customWidth="1"/>
    <col min="37" max="46" width="8.88671875" customWidth="1"/>
    <col min="65" max="65" width="10.33203125" bestFit="1" customWidth="1"/>
  </cols>
  <sheetData>
    <row r="1" spans="1:14" x14ac:dyDescent="0.3">
      <c r="A1" s="14"/>
      <c r="B1" s="14"/>
      <c r="C1" s="14"/>
      <c r="D1" s="14"/>
      <c r="E1" s="14"/>
      <c r="F1" s="14"/>
    </row>
    <row r="2" spans="1:14" ht="15" thickBot="1" x14ac:dyDescent="0.35">
      <c r="A2" s="14"/>
      <c r="B2" s="14"/>
      <c r="C2" s="14"/>
      <c r="D2" s="14"/>
      <c r="E2" s="14"/>
      <c r="F2" s="14"/>
    </row>
    <row r="3" spans="1:14" ht="34.200000000000003" customHeight="1" x14ac:dyDescent="0.3">
      <c r="A3" s="14"/>
      <c r="B3" s="33" t="s">
        <v>80</v>
      </c>
      <c r="C3" s="34"/>
      <c r="D3" s="35"/>
      <c r="E3" s="14"/>
      <c r="F3" s="14"/>
      <c r="G3" s="14"/>
      <c r="H3" s="14"/>
      <c r="I3" s="14"/>
      <c r="J3" s="14"/>
      <c r="K3" s="14"/>
      <c r="L3" s="14"/>
    </row>
    <row r="4" spans="1:14" x14ac:dyDescent="0.3">
      <c r="A4" s="14"/>
      <c r="B4" s="5"/>
      <c r="C4" s="11" t="s">
        <v>21</v>
      </c>
      <c r="D4" s="6" t="s">
        <v>25</v>
      </c>
      <c r="E4" s="14"/>
      <c r="F4" s="14"/>
      <c r="G4" s="14"/>
      <c r="H4" s="14"/>
      <c r="I4" s="14"/>
      <c r="J4" s="14"/>
      <c r="K4" s="14"/>
      <c r="L4" s="14"/>
    </row>
    <row r="5" spans="1:14" x14ac:dyDescent="0.3">
      <c r="A5" s="14">
        <v>1</v>
      </c>
      <c r="B5" s="7" t="s">
        <v>84</v>
      </c>
      <c r="C5" s="12" t="s">
        <v>43</v>
      </c>
      <c r="D5" s="8">
        <v>1</v>
      </c>
      <c r="E5" s="14"/>
      <c r="F5" s="14"/>
      <c r="G5" s="14"/>
      <c r="H5" s="14"/>
      <c r="I5" s="14"/>
      <c r="J5" s="14"/>
      <c r="K5" s="14"/>
      <c r="L5" s="14"/>
    </row>
    <row r="6" spans="1:14" ht="15" thickBot="1" x14ac:dyDescent="0.35">
      <c r="A6" s="14">
        <v>2</v>
      </c>
      <c r="B6" s="7" t="s">
        <v>85</v>
      </c>
      <c r="C6" s="12" t="s">
        <v>60</v>
      </c>
      <c r="D6" s="8">
        <v>2</v>
      </c>
      <c r="E6" s="14"/>
      <c r="F6" s="14"/>
      <c r="G6" s="14"/>
      <c r="H6" s="14"/>
      <c r="I6" s="14"/>
      <c r="J6" s="14"/>
      <c r="K6" s="14"/>
      <c r="L6" s="14"/>
      <c r="M6" s="14"/>
      <c r="N6" s="14"/>
    </row>
    <row r="7" spans="1:14" x14ac:dyDescent="0.3">
      <c r="A7" s="14">
        <v>3</v>
      </c>
      <c r="B7" s="7" t="s">
        <v>86</v>
      </c>
      <c r="C7" s="12" t="s">
        <v>44</v>
      </c>
      <c r="D7" s="8">
        <v>2</v>
      </c>
      <c r="E7" s="14"/>
      <c r="F7" s="14"/>
      <c r="G7" s="14"/>
      <c r="H7" s="20"/>
      <c r="I7" s="32" t="s">
        <v>88</v>
      </c>
      <c r="J7" s="32"/>
      <c r="K7" s="21"/>
      <c r="L7" s="14"/>
      <c r="M7" s="14"/>
      <c r="N7" s="14"/>
    </row>
    <row r="8" spans="1:14" x14ac:dyDescent="0.3">
      <c r="A8" s="14">
        <v>4</v>
      </c>
      <c r="B8" s="7" t="s">
        <v>87</v>
      </c>
      <c r="C8" s="12" t="s">
        <v>81</v>
      </c>
      <c r="D8" s="8">
        <v>1</v>
      </c>
      <c r="E8" s="14"/>
      <c r="F8" s="14"/>
      <c r="G8" s="14"/>
      <c r="H8" s="22" t="s">
        <v>26</v>
      </c>
      <c r="I8" s="23" t="s">
        <v>89</v>
      </c>
      <c r="J8" s="24" t="s">
        <v>90</v>
      </c>
      <c r="K8" s="25" t="s">
        <v>76</v>
      </c>
      <c r="L8" s="14"/>
      <c r="M8" s="14"/>
      <c r="N8" s="14"/>
    </row>
    <row r="9" spans="1:14" ht="15" thickBot="1" x14ac:dyDescent="0.35">
      <c r="A9" s="14">
        <v>5</v>
      </c>
      <c r="B9" s="7" t="s">
        <v>4</v>
      </c>
      <c r="C9" s="12" t="s">
        <v>50</v>
      </c>
      <c r="D9" s="8">
        <v>4.2000000000000003E-2</v>
      </c>
      <c r="E9" s="14"/>
      <c r="F9" s="14"/>
      <c r="G9" s="14"/>
      <c r="H9" s="26" t="s">
        <v>61</v>
      </c>
      <c r="I9" s="13" t="str">
        <f>both!N6</f>
        <v>Benefited</v>
      </c>
      <c r="J9" s="13" t="str">
        <f>soc!N6</f>
        <v>Critical Case</v>
      </c>
      <c r="K9" s="27" t="str">
        <f>MW_test!B15</f>
        <v>Different effect (p-value&lt;0.05)</v>
      </c>
      <c r="L9" s="14"/>
      <c r="M9" s="14"/>
      <c r="N9" s="14"/>
    </row>
    <row r="10" spans="1:14" x14ac:dyDescent="0.3">
      <c r="A10" s="14">
        <v>6</v>
      </c>
      <c r="B10" s="7" t="s">
        <v>5</v>
      </c>
      <c r="C10" s="12" t="s">
        <v>51</v>
      </c>
      <c r="D10" s="8">
        <v>18.12</v>
      </c>
      <c r="E10" s="14"/>
      <c r="F10" s="14"/>
      <c r="G10" s="14"/>
      <c r="H10" s="19"/>
      <c r="I10" s="18"/>
      <c r="J10" s="18"/>
      <c r="K10" s="14"/>
      <c r="L10" s="14"/>
      <c r="M10" s="14"/>
      <c r="N10" s="14"/>
    </row>
    <row r="11" spans="1:14" x14ac:dyDescent="0.3">
      <c r="A11" s="14">
        <v>7</v>
      </c>
      <c r="B11" s="7" t="s">
        <v>6</v>
      </c>
      <c r="C11" s="12" t="s">
        <v>51</v>
      </c>
      <c r="D11" s="8">
        <v>8.69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</row>
    <row r="12" spans="1:14" x14ac:dyDescent="0.3">
      <c r="A12" s="14">
        <v>8</v>
      </c>
      <c r="B12" s="7" t="s">
        <v>7</v>
      </c>
      <c r="C12" s="12" t="s">
        <v>51</v>
      </c>
      <c r="D12" s="8">
        <v>8.1300000000000008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</row>
    <row r="13" spans="1:14" x14ac:dyDescent="0.3">
      <c r="A13" s="14">
        <v>9</v>
      </c>
      <c r="B13" s="7" t="s">
        <v>8</v>
      </c>
      <c r="C13" s="12" t="s">
        <v>51</v>
      </c>
      <c r="D13" s="8">
        <v>23.18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</row>
    <row r="14" spans="1:14" x14ac:dyDescent="0.3">
      <c r="A14" s="14">
        <v>10</v>
      </c>
      <c r="B14" s="7" t="s">
        <v>9</v>
      </c>
      <c r="C14" s="12" t="s">
        <v>51</v>
      </c>
      <c r="D14" s="8">
        <v>14.33</v>
      </c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4" x14ac:dyDescent="0.3">
      <c r="A15" s="14">
        <v>11</v>
      </c>
      <c r="B15" s="7" t="s">
        <v>10</v>
      </c>
      <c r="C15" s="12" t="s">
        <v>52</v>
      </c>
      <c r="D15" s="8">
        <v>87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</row>
    <row r="16" spans="1:14" x14ac:dyDescent="0.3">
      <c r="A16" s="14">
        <v>12</v>
      </c>
      <c r="B16" s="7" t="s">
        <v>11</v>
      </c>
      <c r="C16" s="12" t="s">
        <v>53</v>
      </c>
      <c r="D16" s="8">
        <v>48.9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3">
      <c r="A17" s="14">
        <v>13</v>
      </c>
      <c r="B17" s="7" t="s">
        <v>12</v>
      </c>
      <c r="C17" s="12" t="s">
        <v>52</v>
      </c>
      <c r="D17" s="8">
        <v>89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3">
      <c r="A18" s="14">
        <v>14</v>
      </c>
      <c r="B18" s="7" t="s">
        <v>13</v>
      </c>
      <c r="C18" s="12" t="s">
        <v>52</v>
      </c>
      <c r="D18" s="8">
        <v>38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3">
      <c r="A19" s="14">
        <v>16</v>
      </c>
      <c r="B19" s="7" t="s">
        <v>15</v>
      </c>
      <c r="C19" s="12" t="s">
        <v>55</v>
      </c>
      <c r="D19" s="8">
        <v>66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3">
      <c r="A20" s="14">
        <v>17</v>
      </c>
      <c r="B20" s="7" t="s">
        <v>16</v>
      </c>
      <c r="C20" s="12" t="s">
        <v>56</v>
      </c>
      <c r="D20" s="8">
        <v>10.67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3">
      <c r="A21" s="14">
        <v>18</v>
      </c>
      <c r="B21" s="7" t="s">
        <v>17</v>
      </c>
      <c r="C21" s="12" t="s">
        <v>57</v>
      </c>
      <c r="D21" s="8">
        <v>0.94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3">
      <c r="A22" s="14">
        <v>19</v>
      </c>
      <c r="B22" s="7" t="s">
        <v>18</v>
      </c>
      <c r="C22" s="12" t="s">
        <v>58</v>
      </c>
      <c r="D22" s="8">
        <v>697.8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3">
      <c r="A23" s="14">
        <v>20</v>
      </c>
      <c r="B23" s="7" t="s">
        <v>19</v>
      </c>
      <c r="C23" s="12" t="s">
        <v>55</v>
      </c>
      <c r="D23" s="8">
        <v>243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4" ht="15" thickBot="1" x14ac:dyDescent="0.35">
      <c r="A24" s="14">
        <v>21</v>
      </c>
      <c r="B24" s="9" t="s">
        <v>20</v>
      </c>
      <c r="C24" s="13" t="s">
        <v>78</v>
      </c>
      <c r="D24" s="10">
        <v>2.6</v>
      </c>
      <c r="E24" s="14"/>
      <c r="F24" s="14"/>
      <c r="G24" s="14"/>
      <c r="H24" s="14"/>
      <c r="I24" s="14"/>
      <c r="J24" s="14"/>
      <c r="K24" s="14"/>
      <c r="L24" s="14"/>
      <c r="M24" s="14"/>
      <c r="N24" s="14"/>
    </row>
    <row r="25" spans="1:14" x14ac:dyDescent="0.3">
      <c r="A25" s="14"/>
      <c r="B25" s="15"/>
      <c r="C25" s="16"/>
      <c r="D25" s="16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3">
      <c r="A26" s="14"/>
      <c r="B26" s="17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3">
      <c r="A27" s="14"/>
      <c r="B27" s="17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3">
      <c r="A28" s="14"/>
      <c r="B28" s="17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3">
      <c r="A29" s="14"/>
      <c r="B29" s="17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1:14" x14ac:dyDescent="0.3">
      <c r="A30" s="14"/>
      <c r="B30" s="17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</row>
    <row r="31" spans="1:14" x14ac:dyDescent="0.3">
      <c r="B31" s="2"/>
      <c r="E31" s="14"/>
      <c r="F31" s="14"/>
      <c r="G31" s="14"/>
      <c r="H31" s="14"/>
      <c r="I31" s="14"/>
      <c r="J31" s="14"/>
      <c r="K31" s="14"/>
      <c r="L31" s="14"/>
      <c r="M31" s="14"/>
      <c r="N31" s="14"/>
    </row>
    <row r="32" spans="1:14" x14ac:dyDescent="0.3">
      <c r="B32" s="2"/>
      <c r="G32" s="14"/>
      <c r="H32" s="14"/>
      <c r="I32" s="14"/>
      <c r="J32" s="14"/>
      <c r="K32" s="14"/>
      <c r="L32" s="14"/>
      <c r="M32" s="14"/>
      <c r="N32" s="14"/>
    </row>
    <row r="33" spans="2:14" x14ac:dyDescent="0.3">
      <c r="B33" s="2"/>
      <c r="G33" s="14"/>
      <c r="H33" s="14"/>
      <c r="I33" s="14"/>
      <c r="J33" s="14"/>
      <c r="K33" s="14"/>
      <c r="L33" s="14"/>
      <c r="M33" s="14"/>
      <c r="N33" s="14"/>
    </row>
    <row r="34" spans="2:14" x14ac:dyDescent="0.3">
      <c r="B34" s="2"/>
      <c r="K34" s="14"/>
      <c r="L34" s="14"/>
      <c r="M34" s="14"/>
      <c r="N34" s="14"/>
    </row>
    <row r="35" spans="2:14" x14ac:dyDescent="0.3">
      <c r="B35" s="2"/>
      <c r="K35" s="14"/>
      <c r="L35" s="14"/>
      <c r="M35" s="14"/>
      <c r="N35" s="14"/>
    </row>
    <row r="36" spans="2:14" x14ac:dyDescent="0.3">
      <c r="B36" s="2"/>
      <c r="K36" s="14"/>
      <c r="L36" s="14"/>
      <c r="M36" s="14"/>
      <c r="N36" s="14"/>
    </row>
    <row r="37" spans="2:14" x14ac:dyDescent="0.3">
      <c r="B37" s="2"/>
    </row>
    <row r="38" spans="2:14" x14ac:dyDescent="0.3">
      <c r="B38" s="2"/>
    </row>
    <row r="39" spans="2:14" x14ac:dyDescent="0.3">
      <c r="B39" s="2"/>
    </row>
    <row r="40" spans="2:14" x14ac:dyDescent="0.3">
      <c r="B40" s="2"/>
    </row>
    <row r="41" spans="2:14" x14ac:dyDescent="0.3">
      <c r="B41" s="2"/>
    </row>
    <row r="42" spans="2:14" x14ac:dyDescent="0.3">
      <c r="B42" s="2"/>
    </row>
    <row r="43" spans="2:14" x14ac:dyDescent="0.3">
      <c r="B43" s="2"/>
    </row>
    <row r="44" spans="2:14" x14ac:dyDescent="0.3">
      <c r="B44" s="2"/>
    </row>
    <row r="45" spans="2:14" x14ac:dyDescent="0.3">
      <c r="B45" s="2"/>
    </row>
    <row r="46" spans="2:14" x14ac:dyDescent="0.3">
      <c r="B46" s="2"/>
    </row>
    <row r="57" spans="1:59" hidden="1" x14ac:dyDescent="0.3">
      <c r="A57" s="29" t="s">
        <v>47</v>
      </c>
      <c r="B57" s="29"/>
      <c r="C57" s="29"/>
      <c r="D57" s="29"/>
    </row>
    <row r="58" spans="1:59" ht="14.4" hidden="1" customHeight="1" x14ac:dyDescent="0.3">
      <c r="A58" s="2" t="s">
        <v>0</v>
      </c>
      <c r="B58" t="s">
        <v>43</v>
      </c>
      <c r="C58">
        <v>1</v>
      </c>
      <c r="D58">
        <v>1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</row>
    <row r="59" spans="1:59" hidden="1" x14ac:dyDescent="0.3">
      <c r="A59" s="2" t="s">
        <v>1</v>
      </c>
      <c r="B59" t="s">
        <v>60</v>
      </c>
      <c r="C59">
        <v>2</v>
      </c>
      <c r="D59">
        <v>2</v>
      </c>
      <c r="E59">
        <v>1</v>
      </c>
      <c r="F59">
        <v>1</v>
      </c>
      <c r="G59">
        <v>1</v>
      </c>
      <c r="H59">
        <v>0</v>
      </c>
      <c r="I59">
        <v>1</v>
      </c>
      <c r="J59">
        <v>1</v>
      </c>
      <c r="K59">
        <v>0</v>
      </c>
      <c r="L59">
        <v>1</v>
      </c>
      <c r="M59">
        <v>0</v>
      </c>
      <c r="N59">
        <v>1</v>
      </c>
      <c r="O59">
        <v>1</v>
      </c>
      <c r="P59">
        <v>1</v>
      </c>
      <c r="Q59">
        <v>0</v>
      </c>
      <c r="R59">
        <v>1</v>
      </c>
      <c r="S59">
        <v>0</v>
      </c>
      <c r="T59">
        <v>1</v>
      </c>
      <c r="U59">
        <v>1</v>
      </c>
      <c r="V59">
        <v>0</v>
      </c>
      <c r="W59">
        <v>1</v>
      </c>
      <c r="X59">
        <v>0</v>
      </c>
      <c r="Y59">
        <v>1</v>
      </c>
      <c r="Z59">
        <v>0</v>
      </c>
      <c r="AA59">
        <v>1</v>
      </c>
      <c r="AB59">
        <v>1</v>
      </c>
      <c r="AC59">
        <v>0</v>
      </c>
      <c r="AD59">
        <v>1</v>
      </c>
      <c r="AE59">
        <v>1</v>
      </c>
      <c r="AF59">
        <v>1</v>
      </c>
      <c r="AG59">
        <v>1</v>
      </c>
      <c r="AH59">
        <v>0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0</v>
      </c>
      <c r="AU59">
        <v>1</v>
      </c>
      <c r="AV59">
        <v>1</v>
      </c>
      <c r="AW59">
        <v>1</v>
      </c>
      <c r="AX59">
        <v>0</v>
      </c>
      <c r="AY59">
        <v>0</v>
      </c>
      <c r="AZ59">
        <v>1</v>
      </c>
      <c r="BA59">
        <v>0</v>
      </c>
      <c r="BB59">
        <v>1</v>
      </c>
      <c r="BC59">
        <v>0</v>
      </c>
      <c r="BD59">
        <v>1</v>
      </c>
      <c r="BE59">
        <v>1</v>
      </c>
      <c r="BF59">
        <v>1</v>
      </c>
      <c r="BG59">
        <v>1</v>
      </c>
    </row>
    <row r="60" spans="1:59" hidden="1" x14ac:dyDescent="0.3">
      <c r="A60" s="2" t="s">
        <v>2</v>
      </c>
      <c r="B60" t="s">
        <v>44</v>
      </c>
      <c r="C60">
        <v>3</v>
      </c>
      <c r="D60">
        <v>3</v>
      </c>
      <c r="E60">
        <v>1</v>
      </c>
      <c r="F60">
        <v>1</v>
      </c>
      <c r="G60">
        <v>1</v>
      </c>
      <c r="H60">
        <v>2</v>
      </c>
      <c r="I60">
        <v>1</v>
      </c>
      <c r="J60">
        <v>2</v>
      </c>
      <c r="K60">
        <v>1</v>
      </c>
      <c r="L60">
        <v>1</v>
      </c>
      <c r="M60">
        <v>2</v>
      </c>
      <c r="N60">
        <v>1</v>
      </c>
      <c r="O60">
        <v>2</v>
      </c>
      <c r="P60">
        <v>1</v>
      </c>
      <c r="Q60">
        <v>1</v>
      </c>
      <c r="R60">
        <v>2</v>
      </c>
      <c r="S60">
        <v>1</v>
      </c>
      <c r="T60">
        <v>2</v>
      </c>
      <c r="U60">
        <v>2</v>
      </c>
      <c r="V60">
        <v>2</v>
      </c>
      <c r="W60">
        <v>2</v>
      </c>
      <c r="X60">
        <v>2</v>
      </c>
      <c r="Y60">
        <v>1</v>
      </c>
      <c r="Z60">
        <v>2</v>
      </c>
      <c r="AA60">
        <v>2</v>
      </c>
      <c r="AB60">
        <v>1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1</v>
      </c>
      <c r="AL60">
        <v>2</v>
      </c>
      <c r="AM60">
        <v>2</v>
      </c>
      <c r="AN60">
        <v>2</v>
      </c>
      <c r="AO60">
        <v>1</v>
      </c>
      <c r="AP60">
        <v>1</v>
      </c>
      <c r="AQ60">
        <v>2</v>
      </c>
      <c r="AR60">
        <v>1</v>
      </c>
      <c r="AS60">
        <v>2</v>
      </c>
      <c r="AT60">
        <v>1</v>
      </c>
      <c r="AU60">
        <v>2</v>
      </c>
      <c r="AV60">
        <v>1</v>
      </c>
      <c r="AW60">
        <v>2</v>
      </c>
      <c r="AX60">
        <v>1</v>
      </c>
      <c r="AY60">
        <v>2</v>
      </c>
      <c r="AZ60">
        <v>2</v>
      </c>
      <c r="BA60">
        <v>1</v>
      </c>
      <c r="BB60">
        <v>1</v>
      </c>
      <c r="BC60">
        <v>2</v>
      </c>
      <c r="BD60">
        <v>2</v>
      </c>
      <c r="BE60">
        <v>2</v>
      </c>
      <c r="BF60">
        <v>1</v>
      </c>
      <c r="BG60">
        <v>1</v>
      </c>
    </row>
    <row r="61" spans="1:59" hidden="1" x14ac:dyDescent="0.3">
      <c r="A61" s="2" t="s">
        <v>3</v>
      </c>
      <c r="B61" t="s">
        <v>49</v>
      </c>
      <c r="C61">
        <v>0</v>
      </c>
      <c r="D61">
        <v>0</v>
      </c>
      <c r="E61">
        <v>1</v>
      </c>
      <c r="F61">
        <v>2</v>
      </c>
      <c r="G61">
        <v>3</v>
      </c>
      <c r="H61">
        <v>2</v>
      </c>
      <c r="I61">
        <v>2</v>
      </c>
      <c r="J61">
        <v>2</v>
      </c>
      <c r="K61">
        <v>1</v>
      </c>
      <c r="L61">
        <v>3</v>
      </c>
      <c r="M61">
        <v>2</v>
      </c>
      <c r="N61">
        <v>3</v>
      </c>
      <c r="O61">
        <v>2</v>
      </c>
      <c r="P61">
        <v>3</v>
      </c>
      <c r="Q61">
        <v>3</v>
      </c>
      <c r="R61">
        <v>2</v>
      </c>
      <c r="S61">
        <v>2</v>
      </c>
      <c r="T61">
        <v>2</v>
      </c>
      <c r="U61">
        <v>1</v>
      </c>
      <c r="V61">
        <v>3</v>
      </c>
      <c r="W61">
        <v>2</v>
      </c>
      <c r="X61">
        <v>1</v>
      </c>
      <c r="Y61">
        <v>2</v>
      </c>
      <c r="Z61">
        <v>2</v>
      </c>
      <c r="AA61">
        <v>3</v>
      </c>
      <c r="AB61">
        <v>1</v>
      </c>
      <c r="AC61">
        <v>1</v>
      </c>
      <c r="AD61">
        <v>2</v>
      </c>
      <c r="AE61">
        <v>3</v>
      </c>
      <c r="AF61">
        <v>2</v>
      </c>
      <c r="AG61">
        <v>2</v>
      </c>
      <c r="AH61">
        <v>1</v>
      </c>
      <c r="AI61">
        <v>3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1</v>
      </c>
      <c r="AR61">
        <v>2</v>
      </c>
      <c r="AS61">
        <v>3</v>
      </c>
      <c r="AT61">
        <v>2</v>
      </c>
      <c r="AU61">
        <v>2</v>
      </c>
      <c r="AV61">
        <v>3</v>
      </c>
      <c r="AW61">
        <v>2</v>
      </c>
      <c r="AX61">
        <v>2</v>
      </c>
      <c r="AY61">
        <v>3</v>
      </c>
      <c r="AZ61">
        <v>3</v>
      </c>
      <c r="BA61">
        <v>2</v>
      </c>
      <c r="BB61">
        <v>1</v>
      </c>
      <c r="BC61">
        <v>2</v>
      </c>
      <c r="BD61">
        <v>2</v>
      </c>
      <c r="BE61">
        <v>3</v>
      </c>
      <c r="BF61">
        <v>2</v>
      </c>
      <c r="BG61">
        <v>1</v>
      </c>
    </row>
    <row r="62" spans="1:59" hidden="1" x14ac:dyDescent="0.3">
      <c r="A62" s="2" t="s">
        <v>4</v>
      </c>
      <c r="B62" t="s">
        <v>50</v>
      </c>
      <c r="C62">
        <v>0</v>
      </c>
      <c r="D62">
        <v>9.5000000000000001E-2</v>
      </c>
      <c r="E62">
        <v>1</v>
      </c>
      <c r="F62">
        <v>0</v>
      </c>
      <c r="G62">
        <v>1</v>
      </c>
      <c r="H62">
        <v>0</v>
      </c>
      <c r="I62">
        <v>1</v>
      </c>
      <c r="J62">
        <v>1</v>
      </c>
      <c r="K62">
        <v>1</v>
      </c>
      <c r="L62">
        <v>1</v>
      </c>
      <c r="M62">
        <v>0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0</v>
      </c>
      <c r="X62">
        <v>1</v>
      </c>
      <c r="Y62">
        <v>0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0</v>
      </c>
      <c r="AH62">
        <v>1</v>
      </c>
      <c r="AI62">
        <v>1</v>
      </c>
      <c r="AJ62">
        <v>1</v>
      </c>
      <c r="AK62">
        <v>0</v>
      </c>
      <c r="AL62">
        <v>1</v>
      </c>
      <c r="AM62">
        <v>1</v>
      </c>
      <c r="AN62">
        <v>0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0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0</v>
      </c>
      <c r="BD62">
        <v>1</v>
      </c>
      <c r="BE62">
        <v>1</v>
      </c>
      <c r="BF62">
        <v>1</v>
      </c>
      <c r="BG62">
        <v>1</v>
      </c>
    </row>
    <row r="63" spans="1:59" hidden="1" x14ac:dyDescent="0.3">
      <c r="A63" s="2" t="s">
        <v>5</v>
      </c>
      <c r="B63" t="s">
        <v>51</v>
      </c>
      <c r="C63">
        <v>21.098184069999999</v>
      </c>
      <c r="D63">
        <v>52.92</v>
      </c>
      <c r="E63">
        <v>0</v>
      </c>
      <c r="F63">
        <v>0</v>
      </c>
      <c r="G63">
        <v>9.1999999999999998E-2</v>
      </c>
      <c r="H63">
        <v>0.109</v>
      </c>
      <c r="I63">
        <v>8.4000000000000005E-2</v>
      </c>
      <c r="J63">
        <v>0.159</v>
      </c>
      <c r="K63">
        <v>0.223</v>
      </c>
      <c r="L63">
        <v>0.27200000000000002</v>
      </c>
      <c r="M63">
        <v>0.29099999999999998</v>
      </c>
      <c r="N63">
        <v>0.128</v>
      </c>
      <c r="O63">
        <v>0.156</v>
      </c>
      <c r="P63">
        <v>0.189</v>
      </c>
      <c r="Q63">
        <v>0.52300000000000002</v>
      </c>
      <c r="R63">
        <v>5.2999999999999999E-2</v>
      </c>
      <c r="S63">
        <v>0</v>
      </c>
      <c r="T63">
        <v>0.10299999999999999</v>
      </c>
      <c r="U63">
        <v>0.104</v>
      </c>
      <c r="V63">
        <v>0.13800000000000001</v>
      </c>
      <c r="W63">
        <v>5.6000000000000001E-2</v>
      </c>
      <c r="X63">
        <v>0.05</v>
      </c>
      <c r="Y63">
        <v>1.2999999999999999E-2</v>
      </c>
      <c r="Z63">
        <v>0.17699999999999999</v>
      </c>
      <c r="AA63">
        <v>26.6</v>
      </c>
      <c r="AB63">
        <v>44.65</v>
      </c>
      <c r="AC63">
        <v>9.5000000000000001E-2</v>
      </c>
      <c r="AD63">
        <v>7.6999999999999999E-2</v>
      </c>
      <c r="AE63">
        <v>5.8999999999999997E-2</v>
      </c>
      <c r="AF63">
        <v>4.2000000000000003E-2</v>
      </c>
      <c r="AG63">
        <v>0</v>
      </c>
      <c r="AH63">
        <v>0.20300000000000001</v>
      </c>
      <c r="AI63">
        <v>5.8000000000000003E-2</v>
      </c>
      <c r="AJ63">
        <v>2.137</v>
      </c>
      <c r="AK63">
        <v>8.9999999999999993E-3</v>
      </c>
      <c r="AL63">
        <v>2.7E-2</v>
      </c>
      <c r="AM63">
        <v>0.10100000000000001</v>
      </c>
      <c r="AN63">
        <v>37.520000000000003</v>
      </c>
      <c r="AO63">
        <v>2.8000000000000001E-2</v>
      </c>
      <c r="AP63">
        <v>20.43</v>
      </c>
      <c r="AQ63">
        <v>0.08</v>
      </c>
      <c r="AR63">
        <v>5.1999999999999998E-2</v>
      </c>
      <c r="AS63">
        <v>4.7E-2</v>
      </c>
      <c r="AT63">
        <v>0.03</v>
      </c>
      <c r="AU63">
        <v>8.7999999999999995E-2</v>
      </c>
      <c r="AV63">
        <v>0.40600000000000003</v>
      </c>
      <c r="AW63">
        <v>1.4999999999999999E-2</v>
      </c>
      <c r="AX63">
        <v>3.3000000000000002E-2</v>
      </c>
      <c r="AY63">
        <v>6.0999999999999999E-2</v>
      </c>
      <c r="AZ63">
        <v>0.20200000000000001</v>
      </c>
      <c r="BA63">
        <v>0.246</v>
      </c>
      <c r="BB63">
        <v>4.2720000000000002</v>
      </c>
      <c r="BC63">
        <v>5.2999999999999999E-2</v>
      </c>
      <c r="BD63">
        <v>34.630000000000003</v>
      </c>
      <c r="BE63">
        <v>2.8000000000000001E-2</v>
      </c>
      <c r="BF63">
        <v>42.12</v>
      </c>
      <c r="BG63">
        <v>0</v>
      </c>
    </row>
    <row r="64" spans="1:59" hidden="1" x14ac:dyDescent="0.3">
      <c r="A64" s="2" t="s">
        <v>6</v>
      </c>
      <c r="B64" t="s">
        <v>51</v>
      </c>
      <c r="C64">
        <v>11.91</v>
      </c>
      <c r="D64">
        <v>291</v>
      </c>
      <c r="E64">
        <v>21.8</v>
      </c>
      <c r="F64">
        <v>16.670000000000002</v>
      </c>
      <c r="G64">
        <v>3.27</v>
      </c>
      <c r="H64">
        <v>72.17</v>
      </c>
      <c r="I64">
        <v>3.74</v>
      </c>
      <c r="J64">
        <v>12.08</v>
      </c>
      <c r="K64">
        <v>11.34</v>
      </c>
      <c r="L64">
        <v>16.600000000000001</v>
      </c>
      <c r="M64">
        <v>10.97</v>
      </c>
      <c r="N64">
        <v>16.8</v>
      </c>
      <c r="O64">
        <v>8.17</v>
      </c>
      <c r="P64">
        <v>13.5</v>
      </c>
      <c r="Q64">
        <v>10.46</v>
      </c>
      <c r="R64">
        <v>11.58</v>
      </c>
      <c r="S64">
        <v>22.07</v>
      </c>
      <c r="T64">
        <v>16.13</v>
      </c>
      <c r="U64">
        <v>11.47</v>
      </c>
      <c r="V64">
        <v>12.62</v>
      </c>
      <c r="W64">
        <v>21.09</v>
      </c>
      <c r="X64">
        <v>24.95</v>
      </c>
      <c r="Y64">
        <v>14.98</v>
      </c>
      <c r="Z64">
        <v>16.059999999999999</v>
      </c>
      <c r="AA64">
        <v>19.03</v>
      </c>
      <c r="AB64">
        <v>17.75</v>
      </c>
      <c r="AC64">
        <v>27.39</v>
      </c>
      <c r="AD64">
        <v>23.56</v>
      </c>
      <c r="AE64">
        <v>14.81</v>
      </c>
      <c r="AF64">
        <v>18.12</v>
      </c>
      <c r="AG64">
        <v>27.73</v>
      </c>
      <c r="AH64">
        <v>28.95</v>
      </c>
      <c r="AI64">
        <v>27.59</v>
      </c>
      <c r="AJ64">
        <v>18.25</v>
      </c>
      <c r="AK64">
        <v>15.79</v>
      </c>
      <c r="AL64">
        <v>16.63</v>
      </c>
      <c r="AM64">
        <v>26.17</v>
      </c>
      <c r="AN64">
        <v>21.23</v>
      </c>
      <c r="AO64">
        <v>12.86</v>
      </c>
      <c r="AP64">
        <v>13.87</v>
      </c>
      <c r="AQ64">
        <v>20.69</v>
      </c>
      <c r="AR64">
        <v>17.41</v>
      </c>
      <c r="AS64">
        <v>21.23</v>
      </c>
      <c r="AT64">
        <v>24.04</v>
      </c>
      <c r="AU64">
        <v>21.23</v>
      </c>
      <c r="AV64">
        <v>73.75</v>
      </c>
      <c r="AW64">
        <v>17.170000000000002</v>
      </c>
      <c r="AX64">
        <v>7.27</v>
      </c>
      <c r="AY64">
        <v>7.05</v>
      </c>
      <c r="AZ64">
        <v>28.17</v>
      </c>
      <c r="BA64">
        <v>43.57</v>
      </c>
      <c r="BB64">
        <v>31.97</v>
      </c>
      <c r="BC64">
        <v>38.25</v>
      </c>
      <c r="BD64">
        <v>23.6</v>
      </c>
      <c r="BE64">
        <v>36.619999999999997</v>
      </c>
      <c r="BF64">
        <v>31.66</v>
      </c>
      <c r="BG64">
        <v>27.22</v>
      </c>
    </row>
    <row r="65" spans="1:59" hidden="1" x14ac:dyDescent="0.3">
      <c r="A65" s="2" t="s">
        <v>7</v>
      </c>
      <c r="B65" t="s">
        <v>51</v>
      </c>
      <c r="C65">
        <v>13.15799646</v>
      </c>
      <c r="D65">
        <v>107.32</v>
      </c>
      <c r="E65">
        <v>12.27</v>
      </c>
      <c r="F65">
        <v>6.84</v>
      </c>
      <c r="G65">
        <v>4.9000000000000004</v>
      </c>
      <c r="H65">
        <v>3.24</v>
      </c>
      <c r="I65">
        <v>4.47</v>
      </c>
      <c r="J65">
        <v>7.48</v>
      </c>
      <c r="K65">
        <v>6.9</v>
      </c>
      <c r="L65">
        <v>7.93</v>
      </c>
      <c r="M65">
        <v>7.59</v>
      </c>
      <c r="N65">
        <v>9.1</v>
      </c>
      <c r="O65">
        <v>5.96</v>
      </c>
      <c r="P65">
        <v>8.81</v>
      </c>
      <c r="Q65">
        <v>7.69</v>
      </c>
      <c r="R65">
        <v>7.27</v>
      </c>
      <c r="S65">
        <v>10.37</v>
      </c>
      <c r="T65">
        <v>8.64</v>
      </c>
      <c r="U65">
        <v>9.1300000000000008</v>
      </c>
      <c r="V65">
        <v>9.24</v>
      </c>
      <c r="W65">
        <v>7.59</v>
      </c>
      <c r="X65">
        <v>10.08</v>
      </c>
      <c r="Y65">
        <v>6.9</v>
      </c>
      <c r="Z65">
        <v>8.5399999999999991</v>
      </c>
      <c r="AA65">
        <v>8.66</v>
      </c>
      <c r="AB65">
        <v>7.76</v>
      </c>
      <c r="AC65">
        <v>10.34</v>
      </c>
      <c r="AD65">
        <v>8.9</v>
      </c>
      <c r="AE65">
        <v>134.38999999999999</v>
      </c>
      <c r="AF65">
        <v>8.69</v>
      </c>
      <c r="AG65">
        <v>12.93</v>
      </c>
      <c r="AH65">
        <v>13.25</v>
      </c>
      <c r="AI65">
        <v>17.2</v>
      </c>
      <c r="AJ65">
        <v>17.04</v>
      </c>
      <c r="AK65">
        <v>7.77</v>
      </c>
      <c r="AL65">
        <v>6.9</v>
      </c>
      <c r="AM65">
        <v>9.1300000000000008</v>
      </c>
      <c r="AN65">
        <v>17.87</v>
      </c>
      <c r="AO65">
        <v>9.08</v>
      </c>
      <c r="AP65">
        <v>8.1</v>
      </c>
      <c r="AQ65">
        <v>8.92</v>
      </c>
      <c r="AR65">
        <v>7.8</v>
      </c>
      <c r="AS65">
        <v>7.9</v>
      </c>
      <c r="AT65">
        <v>10.35</v>
      </c>
      <c r="AU65">
        <v>15.52</v>
      </c>
      <c r="AV65">
        <v>36.94</v>
      </c>
      <c r="AW65">
        <v>14.4</v>
      </c>
      <c r="AX65">
        <v>5.2</v>
      </c>
      <c r="AY65">
        <v>21.82</v>
      </c>
      <c r="AZ65">
        <v>17.16</v>
      </c>
      <c r="BA65">
        <v>10.15</v>
      </c>
      <c r="BB65">
        <v>21.54</v>
      </c>
      <c r="BC65">
        <v>18.899999999999999</v>
      </c>
      <c r="BD65">
        <v>10.31</v>
      </c>
      <c r="BE65">
        <v>15.58</v>
      </c>
      <c r="BF65">
        <v>14.04</v>
      </c>
      <c r="BG65">
        <v>10.82</v>
      </c>
    </row>
    <row r="66" spans="1:59" hidden="1" x14ac:dyDescent="0.3">
      <c r="A66" s="2" t="s">
        <v>8</v>
      </c>
      <c r="B66" t="s">
        <v>51</v>
      </c>
      <c r="C66">
        <v>41.066060450000002</v>
      </c>
      <c r="D66">
        <v>529.38</v>
      </c>
      <c r="E66">
        <v>16.63</v>
      </c>
      <c r="F66">
        <v>2.56</v>
      </c>
      <c r="G66">
        <v>1.8</v>
      </c>
      <c r="H66">
        <v>0</v>
      </c>
      <c r="I66">
        <v>0</v>
      </c>
      <c r="J66">
        <v>3.58</v>
      </c>
      <c r="K66">
        <v>5.6</v>
      </c>
      <c r="L66">
        <v>4.34</v>
      </c>
      <c r="M66">
        <v>1</v>
      </c>
      <c r="N66">
        <v>15.07</v>
      </c>
      <c r="O66">
        <v>5.25</v>
      </c>
      <c r="P66">
        <v>11.37</v>
      </c>
      <c r="Q66">
        <v>7.46</v>
      </c>
      <c r="R66">
        <v>4.0199999999999996</v>
      </c>
      <c r="S66">
        <v>7.63</v>
      </c>
      <c r="T66">
        <v>4.1100000000000003</v>
      </c>
      <c r="U66">
        <v>6.16</v>
      </c>
      <c r="V66">
        <v>15.22</v>
      </c>
      <c r="W66">
        <v>2.27</v>
      </c>
      <c r="X66">
        <v>10.65</v>
      </c>
      <c r="Y66">
        <v>4.17</v>
      </c>
      <c r="Z66">
        <v>3.73</v>
      </c>
      <c r="AA66">
        <v>11.13</v>
      </c>
      <c r="AB66">
        <v>11.48</v>
      </c>
      <c r="AC66">
        <v>11.16</v>
      </c>
      <c r="AD66">
        <v>7.96</v>
      </c>
      <c r="AE66">
        <v>94.99</v>
      </c>
      <c r="AF66">
        <v>8.1300000000000008</v>
      </c>
      <c r="AG66">
        <v>20.89</v>
      </c>
      <c r="AH66">
        <v>9.91</v>
      </c>
      <c r="AI66">
        <v>22.75</v>
      </c>
      <c r="AJ66">
        <v>9.3800000000000008</v>
      </c>
      <c r="AK66">
        <v>11.42</v>
      </c>
      <c r="AL66">
        <v>12.68</v>
      </c>
      <c r="AM66">
        <v>9.73</v>
      </c>
      <c r="AN66">
        <v>6.54</v>
      </c>
      <c r="AO66">
        <v>4.1100000000000003</v>
      </c>
      <c r="AP66">
        <v>9.44</v>
      </c>
      <c r="AQ66">
        <v>4.43</v>
      </c>
      <c r="AR66">
        <v>3.26</v>
      </c>
      <c r="AS66">
        <v>7.43</v>
      </c>
      <c r="AT66">
        <v>12.56</v>
      </c>
      <c r="AU66">
        <v>24.67</v>
      </c>
      <c r="AV66">
        <v>116.09</v>
      </c>
      <c r="AW66">
        <v>8.4</v>
      </c>
      <c r="AX66">
        <v>0</v>
      </c>
      <c r="AY66">
        <v>4.49</v>
      </c>
      <c r="AZ66">
        <v>14.14</v>
      </c>
      <c r="BA66">
        <v>39.020000000000003</v>
      </c>
      <c r="BB66">
        <v>22.2</v>
      </c>
      <c r="BC66">
        <v>15.61</v>
      </c>
      <c r="BD66">
        <v>10.89</v>
      </c>
      <c r="BE66">
        <v>22.02</v>
      </c>
      <c r="BF66">
        <v>16.57</v>
      </c>
      <c r="BG66">
        <v>14.23</v>
      </c>
    </row>
    <row r="67" spans="1:59" hidden="1" x14ac:dyDescent="0.3">
      <c r="A67" s="2" t="s">
        <v>9</v>
      </c>
      <c r="B67" t="s">
        <v>51</v>
      </c>
      <c r="C67">
        <v>27.210450160000001</v>
      </c>
      <c r="D67">
        <v>429.37</v>
      </c>
      <c r="E67">
        <v>599.88</v>
      </c>
      <c r="F67">
        <v>589.54</v>
      </c>
      <c r="G67">
        <v>15.75</v>
      </c>
      <c r="H67">
        <v>12.85</v>
      </c>
      <c r="I67">
        <v>18.29</v>
      </c>
      <c r="J67">
        <v>23.02</v>
      </c>
      <c r="K67">
        <v>33.18</v>
      </c>
      <c r="L67">
        <v>88.19</v>
      </c>
      <c r="M67">
        <v>28.86</v>
      </c>
      <c r="N67">
        <v>31.15</v>
      </c>
      <c r="O67">
        <v>45.9</v>
      </c>
      <c r="P67">
        <v>44</v>
      </c>
      <c r="Q67">
        <v>29.88</v>
      </c>
      <c r="R67">
        <v>40.97</v>
      </c>
      <c r="S67">
        <v>54.05</v>
      </c>
      <c r="T67">
        <v>30.86</v>
      </c>
      <c r="U67">
        <v>27.6</v>
      </c>
      <c r="V67">
        <v>98.36</v>
      </c>
      <c r="W67">
        <v>43.13</v>
      </c>
      <c r="X67">
        <v>33.659999999999997</v>
      </c>
      <c r="Y67">
        <v>33.47</v>
      </c>
      <c r="Z67">
        <v>51.63</v>
      </c>
      <c r="AA67">
        <v>35.07</v>
      </c>
      <c r="AB67">
        <v>23.31</v>
      </c>
      <c r="AC67">
        <v>25.75</v>
      </c>
      <c r="AD67">
        <v>23.77</v>
      </c>
      <c r="AE67">
        <v>650.87</v>
      </c>
      <c r="AF67">
        <v>23.18</v>
      </c>
      <c r="AG67">
        <v>223.31</v>
      </c>
      <c r="AH67">
        <v>35.200000000000003</v>
      </c>
      <c r="AI67">
        <v>174</v>
      </c>
      <c r="AJ67">
        <v>50.99</v>
      </c>
      <c r="AK67">
        <v>24.73</v>
      </c>
      <c r="AL67">
        <v>30.24</v>
      </c>
      <c r="AM67">
        <v>35.31</v>
      </c>
      <c r="AN67">
        <v>108.5</v>
      </c>
      <c r="AO67">
        <v>20.03</v>
      </c>
      <c r="AP67">
        <v>33.71</v>
      </c>
      <c r="AQ67">
        <v>23.68</v>
      </c>
      <c r="AR67">
        <v>29.9</v>
      </c>
      <c r="AS67">
        <v>27.73</v>
      </c>
      <c r="AT67">
        <v>75.569999999999993</v>
      </c>
      <c r="AU67">
        <v>73.7</v>
      </c>
      <c r="AV67">
        <v>36.46</v>
      </c>
      <c r="AW67">
        <v>82.55</v>
      </c>
      <c r="AX67">
        <v>19.2</v>
      </c>
      <c r="AY67">
        <v>20.73</v>
      </c>
      <c r="AZ67">
        <v>96.82</v>
      </c>
      <c r="BA67">
        <v>25.71</v>
      </c>
      <c r="BB67">
        <v>32.9</v>
      </c>
      <c r="BC67">
        <v>80.67</v>
      </c>
      <c r="BD67">
        <v>56.43</v>
      </c>
      <c r="BE67">
        <v>82.19</v>
      </c>
      <c r="BF67">
        <v>40.869999999999997</v>
      </c>
      <c r="BG67">
        <v>25.36</v>
      </c>
    </row>
    <row r="68" spans="1:59" hidden="1" x14ac:dyDescent="0.3">
      <c r="A68" s="2" t="s">
        <v>10</v>
      </c>
      <c r="B68" t="s">
        <v>52</v>
      </c>
      <c r="C68">
        <v>495</v>
      </c>
      <c r="D68">
        <v>527</v>
      </c>
      <c r="E68">
        <v>15.38</v>
      </c>
      <c r="F68">
        <v>5.72</v>
      </c>
      <c r="G68">
        <v>3.72</v>
      </c>
      <c r="H68">
        <v>1.49</v>
      </c>
      <c r="I68">
        <v>4.45</v>
      </c>
      <c r="J68">
        <v>8.3000000000000007</v>
      </c>
      <c r="K68">
        <v>19.440000000000001</v>
      </c>
      <c r="L68">
        <v>9.59</v>
      </c>
      <c r="M68">
        <v>12.45</v>
      </c>
      <c r="N68">
        <v>9.85</v>
      </c>
      <c r="O68">
        <v>6.11</v>
      </c>
      <c r="P68">
        <v>18.05</v>
      </c>
      <c r="Q68">
        <v>8.3800000000000008</v>
      </c>
      <c r="R68">
        <v>7.55</v>
      </c>
      <c r="S68">
        <v>7.9</v>
      </c>
      <c r="T68">
        <v>10.01</v>
      </c>
      <c r="U68">
        <v>14.1</v>
      </c>
      <c r="V68">
        <v>22.17</v>
      </c>
      <c r="W68">
        <v>6.09</v>
      </c>
      <c r="X68">
        <v>11.53</v>
      </c>
      <c r="Y68">
        <v>9.3800000000000008</v>
      </c>
      <c r="Z68">
        <v>11.04</v>
      </c>
      <c r="AA68">
        <v>8.8800000000000008</v>
      </c>
      <c r="AB68">
        <v>8.86</v>
      </c>
      <c r="AC68">
        <v>8.5399999999999991</v>
      </c>
      <c r="AD68">
        <v>10.55</v>
      </c>
      <c r="AE68">
        <v>264.36</v>
      </c>
      <c r="AF68">
        <v>14.33</v>
      </c>
      <c r="AG68">
        <v>9.8800000000000008</v>
      </c>
      <c r="AH68">
        <v>14.67</v>
      </c>
      <c r="AI68">
        <v>20.03</v>
      </c>
      <c r="AJ68">
        <v>10.51</v>
      </c>
      <c r="AK68">
        <v>9.69</v>
      </c>
      <c r="AL68">
        <v>19.100000000000001</v>
      </c>
      <c r="AM68">
        <v>9.43</v>
      </c>
      <c r="AN68">
        <v>8.1999999999999993</v>
      </c>
      <c r="AO68">
        <v>16.32</v>
      </c>
      <c r="AP68">
        <v>10.57</v>
      </c>
      <c r="AQ68">
        <v>12.6</v>
      </c>
      <c r="AR68">
        <v>9.51</v>
      </c>
      <c r="AS68">
        <v>10.66</v>
      </c>
      <c r="AT68">
        <v>8.86</v>
      </c>
      <c r="AU68">
        <v>12.03</v>
      </c>
      <c r="AV68">
        <v>25.63</v>
      </c>
      <c r="AW68">
        <v>12.07</v>
      </c>
      <c r="AX68">
        <v>5.41</v>
      </c>
      <c r="AY68">
        <v>6.68</v>
      </c>
      <c r="AZ68">
        <v>21.08</v>
      </c>
      <c r="BA68">
        <v>16.53</v>
      </c>
      <c r="BB68">
        <v>15.27</v>
      </c>
      <c r="BC68">
        <v>13.84</v>
      </c>
      <c r="BD68">
        <v>14.51</v>
      </c>
      <c r="BE68">
        <v>18.940000000000001</v>
      </c>
      <c r="BF68">
        <v>15.16</v>
      </c>
      <c r="BG68">
        <v>14.63</v>
      </c>
    </row>
    <row r="69" spans="1:59" hidden="1" x14ac:dyDescent="0.3">
      <c r="A69" s="2" t="s">
        <v>11</v>
      </c>
      <c r="B69" t="s">
        <v>53</v>
      </c>
      <c r="C69">
        <v>232.52199999999999</v>
      </c>
      <c r="D69">
        <v>255.25899999999999</v>
      </c>
      <c r="E69">
        <v>637</v>
      </c>
      <c r="F69">
        <v>595</v>
      </c>
      <c r="G69">
        <v>302</v>
      </c>
      <c r="H69">
        <v>638</v>
      </c>
      <c r="I69">
        <v>571</v>
      </c>
      <c r="J69">
        <v>377</v>
      </c>
      <c r="K69">
        <v>590</v>
      </c>
      <c r="L69">
        <v>148</v>
      </c>
      <c r="M69">
        <v>635</v>
      </c>
      <c r="N69">
        <v>357</v>
      </c>
      <c r="O69">
        <v>423</v>
      </c>
      <c r="P69">
        <v>428</v>
      </c>
      <c r="Q69">
        <v>417</v>
      </c>
      <c r="R69">
        <v>412</v>
      </c>
      <c r="S69">
        <v>643</v>
      </c>
      <c r="T69">
        <v>446</v>
      </c>
      <c r="U69">
        <v>440</v>
      </c>
      <c r="V69">
        <v>436</v>
      </c>
      <c r="W69">
        <v>199</v>
      </c>
      <c r="X69">
        <v>506</v>
      </c>
      <c r="Y69">
        <v>556</v>
      </c>
      <c r="Z69">
        <v>381</v>
      </c>
      <c r="AA69">
        <v>292</v>
      </c>
      <c r="AB69">
        <v>231</v>
      </c>
      <c r="AC69">
        <v>413</v>
      </c>
      <c r="AD69">
        <v>338</v>
      </c>
      <c r="AE69">
        <v>397</v>
      </c>
      <c r="AF69">
        <v>87</v>
      </c>
      <c r="AG69">
        <v>428</v>
      </c>
      <c r="AH69">
        <v>413</v>
      </c>
      <c r="AI69">
        <v>213</v>
      </c>
      <c r="AJ69">
        <v>214</v>
      </c>
      <c r="AK69">
        <v>643</v>
      </c>
      <c r="AL69">
        <v>243</v>
      </c>
      <c r="AM69">
        <v>593</v>
      </c>
      <c r="AN69">
        <v>649</v>
      </c>
      <c r="AO69">
        <v>469</v>
      </c>
      <c r="AP69">
        <v>645</v>
      </c>
      <c r="AQ69">
        <v>639</v>
      </c>
      <c r="AR69">
        <v>510</v>
      </c>
      <c r="AS69">
        <v>342</v>
      </c>
      <c r="AT69">
        <v>538</v>
      </c>
      <c r="AU69">
        <v>618</v>
      </c>
      <c r="AV69">
        <v>569</v>
      </c>
      <c r="AW69">
        <v>381</v>
      </c>
      <c r="AX69">
        <v>507</v>
      </c>
      <c r="AY69">
        <v>648</v>
      </c>
      <c r="AZ69">
        <v>168</v>
      </c>
      <c r="BA69">
        <v>367</v>
      </c>
      <c r="BB69">
        <v>578.11</v>
      </c>
      <c r="BC69">
        <v>452.58</v>
      </c>
      <c r="BD69">
        <v>602.66999999999996</v>
      </c>
      <c r="BE69">
        <v>519.76</v>
      </c>
      <c r="BF69">
        <v>422.48</v>
      </c>
      <c r="BG69">
        <v>595.83000000000004</v>
      </c>
    </row>
    <row r="70" spans="1:59" hidden="1" x14ac:dyDescent="0.3">
      <c r="A70" s="2" t="s">
        <v>12</v>
      </c>
      <c r="B70" t="s">
        <v>52</v>
      </c>
      <c r="C70">
        <v>156</v>
      </c>
      <c r="D70">
        <v>73</v>
      </c>
      <c r="E70">
        <v>287.18</v>
      </c>
      <c r="F70">
        <v>221.608</v>
      </c>
      <c r="G70">
        <v>0</v>
      </c>
      <c r="H70">
        <v>267.37599999999998</v>
      </c>
      <c r="I70">
        <v>369.61200000000002</v>
      </c>
      <c r="J70">
        <v>419.52199999999999</v>
      </c>
      <c r="K70">
        <v>260.02199999999999</v>
      </c>
      <c r="L70">
        <v>83.047799999999995</v>
      </c>
      <c r="M70">
        <v>314.86900000000003</v>
      </c>
      <c r="N70">
        <v>228.238</v>
      </c>
      <c r="O70">
        <v>221.81</v>
      </c>
      <c r="P70">
        <v>218.46100000000001</v>
      </c>
      <c r="Q70">
        <v>0</v>
      </c>
      <c r="R70">
        <v>354</v>
      </c>
      <c r="S70">
        <v>431</v>
      </c>
      <c r="T70">
        <v>179</v>
      </c>
      <c r="U70">
        <v>204</v>
      </c>
      <c r="V70">
        <v>220</v>
      </c>
      <c r="W70">
        <v>105</v>
      </c>
      <c r="X70">
        <v>280</v>
      </c>
      <c r="Y70">
        <v>318</v>
      </c>
      <c r="Z70">
        <v>252</v>
      </c>
      <c r="AA70">
        <v>209</v>
      </c>
      <c r="AB70">
        <v>152</v>
      </c>
      <c r="AC70">
        <v>181</v>
      </c>
      <c r="AD70">
        <v>60</v>
      </c>
      <c r="AE70">
        <v>291</v>
      </c>
      <c r="AF70">
        <v>48.9</v>
      </c>
      <c r="AG70">
        <v>151</v>
      </c>
      <c r="AH70">
        <v>244</v>
      </c>
      <c r="AI70">
        <v>63</v>
      </c>
      <c r="AJ70">
        <v>102</v>
      </c>
      <c r="AK70">
        <v>200</v>
      </c>
      <c r="AL70">
        <v>128</v>
      </c>
      <c r="AM70">
        <v>506</v>
      </c>
      <c r="AN70">
        <v>382</v>
      </c>
      <c r="AO70">
        <v>278</v>
      </c>
      <c r="AP70">
        <v>216</v>
      </c>
      <c r="AQ70">
        <v>546</v>
      </c>
      <c r="AR70">
        <v>32</v>
      </c>
      <c r="AS70">
        <v>201</v>
      </c>
      <c r="AT70">
        <v>263</v>
      </c>
      <c r="AU70">
        <v>436</v>
      </c>
      <c r="AV70">
        <v>271</v>
      </c>
      <c r="AW70">
        <v>182</v>
      </c>
      <c r="AX70">
        <v>246</v>
      </c>
      <c r="AY70">
        <v>366</v>
      </c>
      <c r="AZ70">
        <v>79</v>
      </c>
      <c r="BA70">
        <v>297</v>
      </c>
      <c r="BB70">
        <v>305</v>
      </c>
      <c r="BC70">
        <v>232</v>
      </c>
      <c r="BD70">
        <v>271</v>
      </c>
      <c r="BE70">
        <v>367</v>
      </c>
      <c r="BF70">
        <v>297</v>
      </c>
      <c r="BG70">
        <v>350</v>
      </c>
    </row>
    <row r="71" spans="1:59" hidden="1" x14ac:dyDescent="0.3">
      <c r="A71" s="2" t="s">
        <v>13</v>
      </c>
      <c r="B71" t="s">
        <v>52</v>
      </c>
      <c r="C71">
        <v>228.72399999999999</v>
      </c>
      <c r="D71">
        <v>217.887</v>
      </c>
      <c r="E71">
        <v>52</v>
      </c>
      <c r="F71">
        <v>47</v>
      </c>
      <c r="G71">
        <v>227</v>
      </c>
      <c r="H71">
        <v>166</v>
      </c>
      <c r="I71">
        <v>113</v>
      </c>
      <c r="J71">
        <v>140</v>
      </c>
      <c r="K71">
        <v>143</v>
      </c>
      <c r="L71">
        <v>32</v>
      </c>
      <c r="M71">
        <v>74</v>
      </c>
      <c r="N71">
        <v>239</v>
      </c>
      <c r="O71">
        <v>58</v>
      </c>
      <c r="P71">
        <v>53</v>
      </c>
      <c r="Q71">
        <v>127</v>
      </c>
      <c r="R71">
        <v>86</v>
      </c>
      <c r="S71">
        <v>53</v>
      </c>
      <c r="T71">
        <v>80</v>
      </c>
      <c r="U71">
        <v>130</v>
      </c>
      <c r="V71">
        <v>140</v>
      </c>
      <c r="W71">
        <v>232</v>
      </c>
      <c r="X71">
        <v>360</v>
      </c>
      <c r="Y71">
        <v>166</v>
      </c>
      <c r="Z71">
        <v>260</v>
      </c>
      <c r="AA71">
        <v>239</v>
      </c>
      <c r="AB71">
        <v>77</v>
      </c>
      <c r="AC71">
        <v>185</v>
      </c>
      <c r="AD71">
        <v>214</v>
      </c>
      <c r="AE71">
        <v>159</v>
      </c>
      <c r="AF71">
        <v>89</v>
      </c>
      <c r="AG71">
        <v>198</v>
      </c>
      <c r="AH71">
        <v>117</v>
      </c>
      <c r="AI71">
        <v>46</v>
      </c>
      <c r="AJ71">
        <v>292</v>
      </c>
      <c r="AK71">
        <v>208</v>
      </c>
      <c r="AL71">
        <v>98</v>
      </c>
      <c r="AM71">
        <v>184</v>
      </c>
      <c r="AN71">
        <v>191</v>
      </c>
      <c r="AO71">
        <v>260</v>
      </c>
      <c r="AP71">
        <v>378</v>
      </c>
      <c r="AQ71">
        <v>95</v>
      </c>
      <c r="AR71">
        <v>185</v>
      </c>
      <c r="AS71">
        <v>534</v>
      </c>
      <c r="AT71">
        <v>201</v>
      </c>
      <c r="AU71">
        <v>129</v>
      </c>
      <c r="AV71">
        <v>108</v>
      </c>
      <c r="AW71">
        <v>147</v>
      </c>
      <c r="AX71">
        <v>128</v>
      </c>
      <c r="AY71">
        <v>130</v>
      </c>
      <c r="AZ71">
        <v>70</v>
      </c>
      <c r="BA71">
        <v>74</v>
      </c>
      <c r="BB71">
        <v>200</v>
      </c>
      <c r="BC71">
        <v>83</v>
      </c>
      <c r="BD71">
        <v>287</v>
      </c>
      <c r="BE71">
        <v>87</v>
      </c>
      <c r="BF71">
        <v>177</v>
      </c>
      <c r="BG71">
        <v>87</v>
      </c>
    </row>
    <row r="72" spans="1:59" hidden="1" x14ac:dyDescent="0.3">
      <c r="A72" s="2" t="s">
        <v>14</v>
      </c>
      <c r="B72" t="s">
        <v>54</v>
      </c>
      <c r="C72">
        <v>75</v>
      </c>
      <c r="D72">
        <v>41</v>
      </c>
      <c r="E72">
        <v>101.288</v>
      </c>
      <c r="F72">
        <v>383.46199999999999</v>
      </c>
      <c r="G72">
        <v>0</v>
      </c>
      <c r="H72">
        <v>225.78100000000001</v>
      </c>
      <c r="I72">
        <v>224.89699999999999</v>
      </c>
      <c r="J72">
        <v>237.93799999999999</v>
      </c>
      <c r="K72">
        <v>193.07499999999999</v>
      </c>
      <c r="L72">
        <v>125.667</v>
      </c>
      <c r="M72">
        <v>197.08099999999999</v>
      </c>
      <c r="N72">
        <v>260.678</v>
      </c>
      <c r="O72">
        <v>252.38</v>
      </c>
      <c r="P72">
        <v>215.43899999999999</v>
      </c>
      <c r="Q72">
        <v>0</v>
      </c>
      <c r="R72">
        <v>58</v>
      </c>
      <c r="S72">
        <v>212</v>
      </c>
      <c r="T72">
        <v>267</v>
      </c>
      <c r="U72">
        <v>236</v>
      </c>
      <c r="V72">
        <v>216</v>
      </c>
      <c r="W72">
        <v>94</v>
      </c>
      <c r="X72">
        <v>226</v>
      </c>
      <c r="Y72">
        <v>238</v>
      </c>
      <c r="Z72">
        <v>129</v>
      </c>
      <c r="AA72">
        <v>83</v>
      </c>
      <c r="AB72">
        <v>79</v>
      </c>
      <c r="AC72">
        <v>232</v>
      </c>
      <c r="AD72">
        <v>278</v>
      </c>
      <c r="AE72">
        <v>106</v>
      </c>
      <c r="AF72">
        <v>38</v>
      </c>
      <c r="AG72">
        <v>277</v>
      </c>
      <c r="AH72">
        <v>169</v>
      </c>
      <c r="AI72">
        <v>150</v>
      </c>
      <c r="AJ72">
        <v>112</v>
      </c>
      <c r="AK72">
        <v>443</v>
      </c>
      <c r="AL72">
        <v>115</v>
      </c>
      <c r="AM72">
        <v>87</v>
      </c>
      <c r="AN72">
        <v>267</v>
      </c>
      <c r="AO72">
        <v>191</v>
      </c>
      <c r="AP72">
        <v>429</v>
      </c>
      <c r="AQ72">
        <v>93</v>
      </c>
      <c r="AR72">
        <v>478</v>
      </c>
      <c r="AS72">
        <v>141</v>
      </c>
      <c r="AT72">
        <v>275</v>
      </c>
      <c r="AU72">
        <v>182</v>
      </c>
      <c r="AV72">
        <v>298</v>
      </c>
      <c r="AW72">
        <v>199</v>
      </c>
      <c r="AX72">
        <v>261</v>
      </c>
      <c r="AY72">
        <v>282</v>
      </c>
      <c r="AZ72">
        <v>89</v>
      </c>
      <c r="BA72">
        <v>69</v>
      </c>
      <c r="BB72">
        <v>273</v>
      </c>
      <c r="BC72">
        <v>221</v>
      </c>
      <c r="BD72">
        <v>331.67</v>
      </c>
      <c r="BE72">
        <v>152</v>
      </c>
      <c r="BF72">
        <v>125.58</v>
      </c>
      <c r="BG72">
        <v>245</v>
      </c>
    </row>
    <row r="73" spans="1:59" hidden="1" x14ac:dyDescent="0.3">
      <c r="A73" s="2" t="s">
        <v>15</v>
      </c>
      <c r="B73" t="s">
        <v>55</v>
      </c>
      <c r="C73">
        <v>139.96</v>
      </c>
      <c r="D73">
        <v>88</v>
      </c>
      <c r="E73">
        <v>37</v>
      </c>
      <c r="F73">
        <v>116</v>
      </c>
      <c r="G73">
        <v>101</v>
      </c>
      <c r="H73">
        <v>355</v>
      </c>
      <c r="I73">
        <v>250</v>
      </c>
      <c r="J73">
        <v>99</v>
      </c>
      <c r="K73">
        <v>315</v>
      </c>
      <c r="L73">
        <v>16</v>
      </c>
      <c r="M73">
        <v>6</v>
      </c>
      <c r="N73">
        <v>0</v>
      </c>
      <c r="O73">
        <v>39</v>
      </c>
      <c r="P73">
        <v>3</v>
      </c>
      <c r="Q73">
        <v>5</v>
      </c>
      <c r="R73">
        <v>91</v>
      </c>
      <c r="S73">
        <v>26</v>
      </c>
      <c r="T73">
        <v>21</v>
      </c>
      <c r="U73">
        <v>279</v>
      </c>
      <c r="V73">
        <v>0</v>
      </c>
      <c r="W73">
        <v>30</v>
      </c>
      <c r="X73">
        <v>59</v>
      </c>
      <c r="Y73">
        <v>154</v>
      </c>
      <c r="Z73">
        <v>122</v>
      </c>
      <c r="AA73">
        <v>74</v>
      </c>
      <c r="AB73">
        <v>10</v>
      </c>
      <c r="AC73">
        <v>0</v>
      </c>
      <c r="AD73">
        <v>26</v>
      </c>
      <c r="AE73">
        <v>55</v>
      </c>
      <c r="AF73">
        <v>55</v>
      </c>
      <c r="AG73">
        <v>36</v>
      </c>
      <c r="AH73">
        <v>15</v>
      </c>
      <c r="AI73">
        <v>25</v>
      </c>
      <c r="AJ73">
        <v>5</v>
      </c>
      <c r="AK73">
        <v>23</v>
      </c>
      <c r="AL73">
        <v>12</v>
      </c>
      <c r="AM73">
        <v>11</v>
      </c>
      <c r="AN73">
        <v>23</v>
      </c>
      <c r="AO73">
        <v>17</v>
      </c>
      <c r="AP73">
        <v>1</v>
      </c>
      <c r="AQ73">
        <v>46</v>
      </c>
      <c r="AR73">
        <v>18</v>
      </c>
      <c r="AS73">
        <v>139</v>
      </c>
      <c r="AT73">
        <v>376</v>
      </c>
      <c r="AU73">
        <v>118</v>
      </c>
      <c r="AV73">
        <v>160</v>
      </c>
      <c r="AW73">
        <v>647</v>
      </c>
      <c r="AX73">
        <v>486</v>
      </c>
      <c r="AY73">
        <v>128</v>
      </c>
      <c r="AZ73">
        <v>55</v>
      </c>
      <c r="BA73">
        <v>64</v>
      </c>
      <c r="BB73">
        <v>960</v>
      </c>
      <c r="BC73">
        <v>1066</v>
      </c>
      <c r="BD73">
        <v>354</v>
      </c>
      <c r="BE73">
        <v>149</v>
      </c>
      <c r="BF73">
        <v>493</v>
      </c>
      <c r="BG73">
        <v>253</v>
      </c>
    </row>
    <row r="74" spans="1:59" hidden="1" x14ac:dyDescent="0.3">
      <c r="A74" s="2" t="s">
        <v>16</v>
      </c>
      <c r="B74" t="s">
        <v>56</v>
      </c>
      <c r="C74">
        <v>4.3309100000000003</v>
      </c>
      <c r="D74">
        <v>1.27</v>
      </c>
      <c r="E74">
        <v>135</v>
      </c>
      <c r="F74">
        <v>86</v>
      </c>
      <c r="G74">
        <v>211</v>
      </c>
      <c r="H74">
        <v>87</v>
      </c>
      <c r="I74">
        <v>117</v>
      </c>
      <c r="J74">
        <v>445</v>
      </c>
      <c r="K74">
        <v>275</v>
      </c>
      <c r="L74">
        <v>32</v>
      </c>
      <c r="M74">
        <v>94</v>
      </c>
      <c r="N74">
        <v>256</v>
      </c>
      <c r="O74">
        <v>48</v>
      </c>
      <c r="P74">
        <v>99</v>
      </c>
      <c r="Q74">
        <v>44</v>
      </c>
      <c r="R74">
        <v>246</v>
      </c>
      <c r="S74">
        <v>114</v>
      </c>
      <c r="T74">
        <v>73</v>
      </c>
      <c r="U74">
        <v>105</v>
      </c>
      <c r="V74">
        <v>88</v>
      </c>
      <c r="W74">
        <v>217</v>
      </c>
      <c r="X74">
        <v>105</v>
      </c>
      <c r="Y74">
        <v>219</v>
      </c>
      <c r="Z74">
        <v>109</v>
      </c>
      <c r="AA74">
        <v>77</v>
      </c>
      <c r="AB74">
        <v>66</v>
      </c>
      <c r="AC74">
        <v>678</v>
      </c>
      <c r="AD74">
        <v>48</v>
      </c>
      <c r="AE74">
        <v>250</v>
      </c>
      <c r="AF74">
        <v>66</v>
      </c>
      <c r="AG74">
        <v>284</v>
      </c>
      <c r="AH74">
        <v>218</v>
      </c>
      <c r="AI74">
        <v>464</v>
      </c>
      <c r="AJ74">
        <v>207</v>
      </c>
      <c r="AK74">
        <v>258</v>
      </c>
      <c r="AL74">
        <v>1005</v>
      </c>
      <c r="AM74">
        <v>149</v>
      </c>
      <c r="AN74">
        <v>3128</v>
      </c>
      <c r="AO74">
        <v>102</v>
      </c>
      <c r="AP74">
        <v>95</v>
      </c>
      <c r="AQ74">
        <v>515</v>
      </c>
      <c r="AR74">
        <v>112</v>
      </c>
      <c r="AS74">
        <v>261</v>
      </c>
      <c r="AT74">
        <v>65</v>
      </c>
      <c r="AU74">
        <v>56</v>
      </c>
      <c r="AV74">
        <v>47</v>
      </c>
      <c r="AW74">
        <v>0</v>
      </c>
      <c r="AX74">
        <v>81</v>
      </c>
      <c r="AY74">
        <v>906</v>
      </c>
      <c r="AZ74">
        <v>127</v>
      </c>
      <c r="BA74">
        <v>430</v>
      </c>
      <c r="BB74">
        <v>75</v>
      </c>
      <c r="BC74">
        <v>768</v>
      </c>
      <c r="BD74">
        <v>66</v>
      </c>
      <c r="BE74">
        <v>187</v>
      </c>
      <c r="BF74">
        <v>47</v>
      </c>
      <c r="BG74">
        <v>112</v>
      </c>
    </row>
    <row r="75" spans="1:59" hidden="1" x14ac:dyDescent="0.3">
      <c r="A75" s="2" t="s">
        <v>17</v>
      </c>
      <c r="B75" t="s">
        <v>57</v>
      </c>
      <c r="C75">
        <v>0.56752800000000003</v>
      </c>
      <c r="D75">
        <v>2.83</v>
      </c>
      <c r="E75">
        <v>9.4600000000000009</v>
      </c>
      <c r="F75">
        <v>3.83</v>
      </c>
      <c r="G75">
        <v>8.39</v>
      </c>
      <c r="H75">
        <v>5.69</v>
      </c>
      <c r="I75">
        <v>16.63</v>
      </c>
      <c r="J75">
        <v>12.35</v>
      </c>
      <c r="K75">
        <v>4.2300000000000004</v>
      </c>
      <c r="L75">
        <v>25.44</v>
      </c>
      <c r="M75">
        <v>2.5024700000000002</v>
      </c>
      <c r="N75">
        <v>4.4800000000000004</v>
      </c>
      <c r="O75">
        <v>10.99</v>
      </c>
      <c r="P75">
        <v>8.0299999999999994</v>
      </c>
      <c r="Q75">
        <v>16.523499999999999</v>
      </c>
      <c r="R75">
        <v>22.65</v>
      </c>
      <c r="S75">
        <v>6.75</v>
      </c>
      <c r="T75">
        <v>4.78</v>
      </c>
      <c r="U75">
        <v>3.3</v>
      </c>
      <c r="V75">
        <v>8.16</v>
      </c>
      <c r="W75">
        <v>6.52</v>
      </c>
      <c r="X75">
        <v>4.05</v>
      </c>
      <c r="Y75">
        <v>2.42</v>
      </c>
      <c r="Z75">
        <v>6.12</v>
      </c>
      <c r="AA75">
        <v>21.01</v>
      </c>
      <c r="AB75">
        <v>8.61</v>
      </c>
      <c r="AC75">
        <v>2.68</v>
      </c>
      <c r="AD75">
        <v>3.45</v>
      </c>
      <c r="AE75">
        <v>6.09</v>
      </c>
      <c r="AF75">
        <v>10.67</v>
      </c>
      <c r="AG75">
        <v>5.7</v>
      </c>
      <c r="AH75">
        <v>24.31</v>
      </c>
      <c r="AI75">
        <v>18.82</v>
      </c>
      <c r="AJ75">
        <v>21.43</v>
      </c>
      <c r="AK75">
        <v>1.81</v>
      </c>
      <c r="AL75">
        <v>6.2</v>
      </c>
      <c r="AM75">
        <v>2.35</v>
      </c>
      <c r="AN75">
        <v>14.29</v>
      </c>
      <c r="AO75">
        <v>4.38</v>
      </c>
      <c r="AP75">
        <v>18.22</v>
      </c>
      <c r="AQ75">
        <v>12.7</v>
      </c>
      <c r="AR75">
        <v>5.03</v>
      </c>
      <c r="AS75">
        <v>15.48</v>
      </c>
      <c r="AT75">
        <v>4.26</v>
      </c>
      <c r="AU75">
        <v>11.29</v>
      </c>
      <c r="AV75">
        <v>15.76</v>
      </c>
      <c r="AW75">
        <v>0</v>
      </c>
      <c r="AX75">
        <v>0.95</v>
      </c>
      <c r="AY75">
        <v>2.0499999999999998</v>
      </c>
      <c r="AZ75">
        <v>2.92</v>
      </c>
      <c r="BA75">
        <v>4.6500000000000004</v>
      </c>
      <c r="BB75">
        <v>4.8099999999999996</v>
      </c>
      <c r="BC75">
        <v>5.69</v>
      </c>
      <c r="BD75">
        <v>11.01</v>
      </c>
      <c r="BE75">
        <v>7.29</v>
      </c>
      <c r="BF75">
        <v>3.8</v>
      </c>
      <c r="BG75">
        <v>3.08</v>
      </c>
    </row>
    <row r="76" spans="1:59" hidden="1" x14ac:dyDescent="0.3">
      <c r="A76" s="2" t="s">
        <v>18</v>
      </c>
      <c r="B76" t="s">
        <v>58</v>
      </c>
      <c r="C76">
        <v>166.762</v>
      </c>
      <c r="D76">
        <v>423.4</v>
      </c>
      <c r="E76">
        <v>0.18</v>
      </c>
      <c r="F76">
        <v>0.3</v>
      </c>
      <c r="G76">
        <v>0.54</v>
      </c>
      <c r="H76">
        <v>0.21</v>
      </c>
      <c r="I76">
        <v>0.78</v>
      </c>
      <c r="J76">
        <v>0.57999999999999996</v>
      </c>
      <c r="K76">
        <v>0.42</v>
      </c>
      <c r="L76">
        <v>0.95</v>
      </c>
      <c r="M76">
        <v>0.35160400000000003</v>
      </c>
      <c r="N76">
        <v>0.45</v>
      </c>
      <c r="O76">
        <v>0.7</v>
      </c>
      <c r="P76">
        <v>0.54</v>
      </c>
      <c r="Q76">
        <v>0.35</v>
      </c>
      <c r="R76">
        <v>0.4</v>
      </c>
      <c r="S76">
        <v>0.74</v>
      </c>
      <c r="T76">
        <v>0.21</v>
      </c>
      <c r="U76">
        <v>0.3</v>
      </c>
      <c r="V76">
        <v>0.5</v>
      </c>
      <c r="W76">
        <v>0.2</v>
      </c>
      <c r="X76">
        <v>0.18</v>
      </c>
      <c r="Y76">
        <v>0.27</v>
      </c>
      <c r="Z76">
        <v>0.21</v>
      </c>
      <c r="AA76">
        <v>0.5</v>
      </c>
      <c r="AB76">
        <v>0.2</v>
      </c>
      <c r="AC76">
        <v>0.28999999999999998</v>
      </c>
      <c r="AD76">
        <v>0.54</v>
      </c>
      <c r="AE76">
        <v>0.55000000000000004</v>
      </c>
      <c r="AF76">
        <v>0.94</v>
      </c>
      <c r="AG76">
        <v>0.85</v>
      </c>
      <c r="AH76">
        <v>0.96</v>
      </c>
      <c r="AI76">
        <v>0.48</v>
      </c>
      <c r="AJ76">
        <v>0.46</v>
      </c>
      <c r="AK76">
        <v>0.6</v>
      </c>
      <c r="AL76">
        <v>0.8</v>
      </c>
      <c r="AM76">
        <v>2.5</v>
      </c>
      <c r="AN76">
        <v>0.85766900000000001</v>
      </c>
      <c r="AO76">
        <v>4.62</v>
      </c>
      <c r="AP76">
        <v>0.9</v>
      </c>
      <c r="AQ76">
        <v>1.2</v>
      </c>
      <c r="AR76">
        <v>0.6</v>
      </c>
      <c r="AS76">
        <v>0.99</v>
      </c>
      <c r="AT76">
        <v>2.2200000000000002</v>
      </c>
      <c r="AU76">
        <v>0.65</v>
      </c>
      <c r="AV76">
        <v>0.32</v>
      </c>
      <c r="AW76">
        <v>0</v>
      </c>
      <c r="AX76">
        <v>1.1299999999999999</v>
      </c>
      <c r="AY76">
        <v>0.77</v>
      </c>
      <c r="AZ76">
        <v>1.3</v>
      </c>
      <c r="BA76">
        <v>0.53</v>
      </c>
      <c r="BB76">
        <v>0.28000000000000003</v>
      </c>
      <c r="BC76">
        <v>0.64</v>
      </c>
      <c r="BD76">
        <v>0.68</v>
      </c>
      <c r="BE76">
        <v>0.72</v>
      </c>
      <c r="BF76">
        <v>0.2</v>
      </c>
      <c r="BG76">
        <v>0.41</v>
      </c>
    </row>
    <row r="77" spans="1:59" hidden="1" x14ac:dyDescent="0.3">
      <c r="A77" s="2" t="s">
        <v>19</v>
      </c>
      <c r="B77" t="s">
        <v>55</v>
      </c>
      <c r="C77">
        <v>313.41899999999998</v>
      </c>
      <c r="D77">
        <v>364</v>
      </c>
      <c r="E77">
        <v>141</v>
      </c>
      <c r="F77">
        <v>161.4</v>
      </c>
      <c r="G77">
        <v>543.4</v>
      </c>
      <c r="H77">
        <v>544.4</v>
      </c>
      <c r="I77">
        <v>1159.3</v>
      </c>
      <c r="J77">
        <v>2797.8</v>
      </c>
      <c r="K77">
        <v>234.1</v>
      </c>
      <c r="L77">
        <v>1597</v>
      </c>
      <c r="M77">
        <v>677.678</v>
      </c>
      <c r="N77">
        <v>378.5</v>
      </c>
      <c r="O77">
        <v>1075.9000000000001</v>
      </c>
      <c r="P77">
        <v>478.6</v>
      </c>
      <c r="Q77">
        <v>543.65499999999997</v>
      </c>
      <c r="R77">
        <v>3891.5</v>
      </c>
      <c r="S77">
        <v>48.2</v>
      </c>
      <c r="T77">
        <v>303.2</v>
      </c>
      <c r="U77">
        <v>260.2</v>
      </c>
      <c r="V77">
        <v>391.9</v>
      </c>
      <c r="W77">
        <v>215.2</v>
      </c>
      <c r="X77">
        <v>369.3</v>
      </c>
      <c r="Y77">
        <v>268.89999999999998</v>
      </c>
      <c r="Z77">
        <v>744.7</v>
      </c>
      <c r="AA77">
        <v>376.3</v>
      </c>
      <c r="AB77">
        <v>156.5</v>
      </c>
      <c r="AC77">
        <v>2000</v>
      </c>
      <c r="AD77">
        <v>10549.4</v>
      </c>
      <c r="AE77">
        <v>373.6</v>
      </c>
      <c r="AF77">
        <v>697.8</v>
      </c>
      <c r="AG77">
        <v>1138.5999999999999</v>
      </c>
      <c r="AH77">
        <v>558.79999999999995</v>
      </c>
      <c r="AI77">
        <v>2913.6</v>
      </c>
      <c r="AJ77">
        <v>267.7</v>
      </c>
      <c r="AK77">
        <v>594.5</v>
      </c>
      <c r="AL77">
        <v>952.8</v>
      </c>
      <c r="AM77">
        <v>942.4</v>
      </c>
      <c r="AN77">
        <v>4036.5</v>
      </c>
      <c r="AO77">
        <v>250.4</v>
      </c>
      <c r="AP77">
        <v>152.80000000000001</v>
      </c>
      <c r="AQ77">
        <v>590.1</v>
      </c>
      <c r="AR77">
        <v>177.2</v>
      </c>
      <c r="AS77">
        <v>252.5</v>
      </c>
      <c r="AT77">
        <v>89.2</v>
      </c>
      <c r="AU77">
        <v>2865.4</v>
      </c>
      <c r="AV77">
        <v>511</v>
      </c>
      <c r="AW77">
        <v>0</v>
      </c>
      <c r="AX77">
        <v>27.2</v>
      </c>
      <c r="AY77">
        <v>1012.8</v>
      </c>
      <c r="AZ77">
        <v>630.29999999999995</v>
      </c>
      <c r="BA77">
        <v>179.5</v>
      </c>
      <c r="BB77">
        <v>73.5</v>
      </c>
      <c r="BC77">
        <v>265.8</v>
      </c>
      <c r="BD77">
        <v>1278.3</v>
      </c>
      <c r="BE77">
        <v>167.4</v>
      </c>
      <c r="BF77">
        <v>97.7</v>
      </c>
      <c r="BG77">
        <v>210.9</v>
      </c>
    </row>
    <row r="78" spans="1:59" hidden="1" x14ac:dyDescent="0.3">
      <c r="A78" s="2" t="s">
        <v>20</v>
      </c>
      <c r="B78" t="s">
        <v>59</v>
      </c>
      <c r="C78">
        <v>7.6505599999999996</v>
      </c>
      <c r="D78">
        <v>9.6</v>
      </c>
      <c r="E78">
        <v>263</v>
      </c>
      <c r="F78">
        <v>230</v>
      </c>
      <c r="G78">
        <v>545</v>
      </c>
      <c r="H78">
        <v>257</v>
      </c>
      <c r="I78">
        <v>455</v>
      </c>
      <c r="J78">
        <v>595</v>
      </c>
      <c r="K78">
        <v>352</v>
      </c>
      <c r="L78">
        <v>579</v>
      </c>
      <c r="M78">
        <v>755</v>
      </c>
      <c r="N78">
        <v>369</v>
      </c>
      <c r="O78">
        <v>408</v>
      </c>
      <c r="P78">
        <v>429</v>
      </c>
      <c r="Q78">
        <v>550</v>
      </c>
      <c r="R78">
        <v>518</v>
      </c>
      <c r="S78">
        <v>333</v>
      </c>
      <c r="T78">
        <v>272</v>
      </c>
      <c r="U78">
        <v>320</v>
      </c>
      <c r="V78">
        <v>182</v>
      </c>
      <c r="W78">
        <v>321</v>
      </c>
      <c r="X78">
        <v>329</v>
      </c>
      <c r="Y78">
        <v>318</v>
      </c>
      <c r="Z78">
        <v>363</v>
      </c>
      <c r="AA78">
        <v>268</v>
      </c>
      <c r="AB78">
        <v>216</v>
      </c>
      <c r="AC78">
        <v>672</v>
      </c>
      <c r="AD78">
        <v>465</v>
      </c>
      <c r="AE78">
        <v>333</v>
      </c>
      <c r="AF78">
        <v>243</v>
      </c>
      <c r="AG78">
        <v>561</v>
      </c>
      <c r="AH78">
        <v>349</v>
      </c>
      <c r="AI78">
        <v>505</v>
      </c>
      <c r="AJ78">
        <v>240</v>
      </c>
      <c r="AK78">
        <v>467</v>
      </c>
      <c r="AL78">
        <v>756</v>
      </c>
      <c r="AM78">
        <v>428</v>
      </c>
      <c r="AN78">
        <v>620</v>
      </c>
      <c r="AO78">
        <v>373</v>
      </c>
      <c r="AP78">
        <v>362</v>
      </c>
      <c r="AQ78">
        <v>512</v>
      </c>
      <c r="AR78">
        <v>365</v>
      </c>
      <c r="AS78">
        <v>349</v>
      </c>
      <c r="AT78">
        <v>274</v>
      </c>
      <c r="AU78">
        <v>407</v>
      </c>
      <c r="AV78">
        <v>337</v>
      </c>
      <c r="AW78">
        <v>0</v>
      </c>
      <c r="AX78">
        <v>240</v>
      </c>
      <c r="AY78">
        <v>379</v>
      </c>
      <c r="AZ78">
        <v>514</v>
      </c>
      <c r="BA78">
        <v>607</v>
      </c>
      <c r="BB78">
        <v>242</v>
      </c>
      <c r="BC78">
        <v>375</v>
      </c>
      <c r="BD78">
        <v>303</v>
      </c>
      <c r="BE78">
        <v>358</v>
      </c>
      <c r="BF78">
        <v>182</v>
      </c>
      <c r="BG78">
        <v>220</v>
      </c>
    </row>
    <row r="79" spans="1:59" hidden="1" x14ac:dyDescent="0.3">
      <c r="E79">
        <v>11.31</v>
      </c>
      <c r="F79">
        <v>5.8</v>
      </c>
      <c r="G79">
        <v>6.1</v>
      </c>
      <c r="H79">
        <v>2.2999999999999998</v>
      </c>
      <c r="I79">
        <v>6.8</v>
      </c>
      <c r="J79">
        <v>5.7</v>
      </c>
      <c r="K79">
        <v>6</v>
      </c>
      <c r="L79">
        <v>11</v>
      </c>
      <c r="M79">
        <v>9.43</v>
      </c>
      <c r="N79">
        <v>4.4000000000000004</v>
      </c>
      <c r="O79">
        <v>8.76</v>
      </c>
      <c r="P79">
        <v>5.8</v>
      </c>
      <c r="Q79">
        <v>9.6300000000000008</v>
      </c>
      <c r="R79">
        <v>4.18</v>
      </c>
      <c r="S79">
        <v>8.3000000000000007</v>
      </c>
      <c r="T79">
        <v>6.5</v>
      </c>
      <c r="U79">
        <v>4.5</v>
      </c>
      <c r="V79">
        <v>10.8</v>
      </c>
      <c r="W79">
        <v>4.7</v>
      </c>
      <c r="X79">
        <v>5.4</v>
      </c>
      <c r="Y79">
        <v>2.7940900000000002</v>
      </c>
      <c r="Z79">
        <v>8.1</v>
      </c>
      <c r="AA79">
        <v>5.6010400000000002</v>
      </c>
      <c r="AB79">
        <v>5.0999999999999996</v>
      </c>
      <c r="AC79">
        <v>5.21</v>
      </c>
      <c r="AD79">
        <v>8.9</v>
      </c>
      <c r="AE79">
        <v>7.4</v>
      </c>
      <c r="AF79">
        <v>2.6</v>
      </c>
      <c r="AG79">
        <v>6.4</v>
      </c>
      <c r="AH79">
        <v>11.2</v>
      </c>
      <c r="AI79">
        <v>7.6</v>
      </c>
      <c r="AJ79">
        <v>15.5</v>
      </c>
      <c r="AK79">
        <v>8.01</v>
      </c>
      <c r="AL79">
        <v>5.5</v>
      </c>
      <c r="AM79">
        <v>4.5</v>
      </c>
      <c r="AN79">
        <v>7.1</v>
      </c>
      <c r="AO79">
        <v>5.5</v>
      </c>
      <c r="AP79">
        <v>8.1999999999999993</v>
      </c>
      <c r="AQ79">
        <v>5.0999999999999996</v>
      </c>
      <c r="AR79">
        <v>5.58</v>
      </c>
      <c r="AS79">
        <v>7.1</v>
      </c>
      <c r="AT79">
        <v>5.87</v>
      </c>
      <c r="AU79">
        <v>7.1</v>
      </c>
      <c r="AV79">
        <v>16.8</v>
      </c>
      <c r="AW79">
        <v>0</v>
      </c>
      <c r="AX79">
        <v>3.6</v>
      </c>
      <c r="AY79">
        <v>6.44</v>
      </c>
      <c r="AZ79">
        <v>5.5</v>
      </c>
      <c r="BA79">
        <v>5.16</v>
      </c>
      <c r="BB79">
        <v>5</v>
      </c>
      <c r="BC79">
        <v>9</v>
      </c>
      <c r="BD79">
        <v>6.7</v>
      </c>
      <c r="BE79">
        <v>6.7</v>
      </c>
      <c r="BF79">
        <v>8.1999999999999993</v>
      </c>
      <c r="BG79">
        <v>3.7</v>
      </c>
    </row>
    <row r="80" spans="1:59" hidden="1" x14ac:dyDescent="0.3">
      <c r="A80" s="31"/>
      <c r="B80" s="31"/>
    </row>
    <row r="81" spans="1:6" hidden="1" x14ac:dyDescent="0.3">
      <c r="B81" s="2"/>
    </row>
    <row r="82" spans="1:6" hidden="1" x14ac:dyDescent="0.3">
      <c r="B82" s="2"/>
    </row>
    <row r="83" spans="1:6" hidden="1" x14ac:dyDescent="0.3">
      <c r="A83" s="31"/>
      <c r="B83" s="31"/>
    </row>
    <row r="84" spans="1:6" hidden="1" x14ac:dyDescent="0.3">
      <c r="B84" s="2"/>
    </row>
    <row r="85" spans="1:6" hidden="1" x14ac:dyDescent="0.3">
      <c r="B85" s="2"/>
    </row>
    <row r="86" spans="1:6" hidden="1" x14ac:dyDescent="0.3"/>
    <row r="87" spans="1:6" hidden="1" x14ac:dyDescent="0.3"/>
    <row r="88" spans="1:6" hidden="1" x14ac:dyDescent="0.3">
      <c r="C88" s="28"/>
      <c r="D88" s="28"/>
    </row>
    <row r="89" spans="1:6" ht="14.4" hidden="1" customHeight="1" x14ac:dyDescent="0.3">
      <c r="D89" s="2"/>
      <c r="E89" s="28"/>
      <c r="F89" s="28"/>
    </row>
    <row r="90" spans="1:6" hidden="1" x14ac:dyDescent="0.3">
      <c r="C90" s="2"/>
    </row>
    <row r="91" spans="1:6" hidden="1" x14ac:dyDescent="0.3">
      <c r="C91" s="3"/>
      <c r="F91" s="2"/>
    </row>
    <row r="92" spans="1:6" hidden="1" x14ac:dyDescent="0.3">
      <c r="C92" s="3"/>
    </row>
    <row r="93" spans="1:6" hidden="1" x14ac:dyDescent="0.3">
      <c r="C93" s="2"/>
    </row>
    <row r="94" spans="1:6" hidden="1" x14ac:dyDescent="0.3">
      <c r="C94" s="3"/>
    </row>
    <row r="95" spans="1:6" hidden="1" x14ac:dyDescent="0.3">
      <c r="C95" s="3"/>
    </row>
    <row r="96" spans="1:6" hidden="1" x14ac:dyDescent="0.3"/>
    <row r="97" spans="1:32" hidden="1" x14ac:dyDescent="0.3"/>
    <row r="98" spans="1:32" hidden="1" x14ac:dyDescent="0.3"/>
    <row r="99" spans="1:32" hidden="1" x14ac:dyDescent="0.3">
      <c r="A99" s="29" t="s">
        <v>48</v>
      </c>
      <c r="B99" s="29"/>
      <c r="C99" s="29"/>
      <c r="D99" s="29"/>
    </row>
    <row r="100" spans="1:32" ht="14.4" hidden="1" customHeight="1" x14ac:dyDescent="0.3">
      <c r="A100" s="2" t="s">
        <v>0</v>
      </c>
      <c r="B100" t="s">
        <v>43</v>
      </c>
      <c r="C100">
        <v>1</v>
      </c>
      <c r="D100">
        <v>1</v>
      </c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</row>
    <row r="101" spans="1:32" hidden="1" x14ac:dyDescent="0.3">
      <c r="A101" s="2" t="s">
        <v>1</v>
      </c>
      <c r="B101" t="s">
        <v>60</v>
      </c>
      <c r="C101">
        <v>1</v>
      </c>
      <c r="D101">
        <v>2</v>
      </c>
      <c r="E101">
        <v>1</v>
      </c>
      <c r="F101">
        <v>0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0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0</v>
      </c>
      <c r="W101">
        <v>1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0</v>
      </c>
      <c r="AE101">
        <v>1</v>
      </c>
      <c r="AF101">
        <v>1</v>
      </c>
    </row>
    <row r="102" spans="1:32" hidden="1" x14ac:dyDescent="0.3">
      <c r="A102" s="2" t="s">
        <v>2</v>
      </c>
      <c r="B102" t="s">
        <v>44</v>
      </c>
      <c r="C102">
        <v>3</v>
      </c>
      <c r="D102">
        <v>1</v>
      </c>
      <c r="E102">
        <v>2</v>
      </c>
      <c r="F102">
        <v>2</v>
      </c>
      <c r="G102">
        <v>2</v>
      </c>
      <c r="H102">
        <v>1</v>
      </c>
      <c r="I102">
        <v>1</v>
      </c>
      <c r="J102">
        <v>2</v>
      </c>
      <c r="K102">
        <v>2</v>
      </c>
      <c r="L102">
        <v>2</v>
      </c>
      <c r="M102">
        <v>2</v>
      </c>
      <c r="N102">
        <v>2</v>
      </c>
      <c r="O102">
        <v>2</v>
      </c>
      <c r="P102">
        <v>2</v>
      </c>
      <c r="Q102">
        <v>2</v>
      </c>
      <c r="R102">
        <v>1</v>
      </c>
      <c r="S102">
        <v>2</v>
      </c>
      <c r="T102">
        <v>2</v>
      </c>
      <c r="U102">
        <v>1</v>
      </c>
      <c r="V102">
        <v>1</v>
      </c>
      <c r="W102">
        <v>1</v>
      </c>
      <c r="X102">
        <v>2</v>
      </c>
      <c r="Y102">
        <v>1</v>
      </c>
      <c r="Z102">
        <v>1</v>
      </c>
      <c r="AA102">
        <v>2</v>
      </c>
      <c r="AB102">
        <v>2</v>
      </c>
      <c r="AC102">
        <v>1</v>
      </c>
      <c r="AD102">
        <v>1</v>
      </c>
      <c r="AE102">
        <v>1</v>
      </c>
      <c r="AF102">
        <v>2</v>
      </c>
    </row>
    <row r="103" spans="1:32" hidden="1" x14ac:dyDescent="0.3">
      <c r="A103" s="2" t="s">
        <v>3</v>
      </c>
      <c r="B103" t="s">
        <v>49</v>
      </c>
      <c r="C103">
        <v>1</v>
      </c>
      <c r="D103">
        <v>1</v>
      </c>
      <c r="E103">
        <v>1</v>
      </c>
      <c r="F103">
        <v>3</v>
      </c>
      <c r="G103">
        <v>3</v>
      </c>
      <c r="H103">
        <v>2</v>
      </c>
      <c r="I103">
        <v>2</v>
      </c>
      <c r="J103">
        <v>2</v>
      </c>
      <c r="K103">
        <v>3</v>
      </c>
      <c r="L103">
        <v>2</v>
      </c>
      <c r="M103">
        <v>2</v>
      </c>
      <c r="N103">
        <v>2</v>
      </c>
      <c r="O103">
        <v>2</v>
      </c>
      <c r="P103">
        <v>3</v>
      </c>
      <c r="Q103">
        <v>2</v>
      </c>
      <c r="R103">
        <v>3</v>
      </c>
      <c r="S103">
        <v>3</v>
      </c>
      <c r="T103">
        <v>2</v>
      </c>
      <c r="U103">
        <v>2</v>
      </c>
      <c r="V103">
        <v>2</v>
      </c>
      <c r="W103">
        <v>2</v>
      </c>
      <c r="X103">
        <v>2</v>
      </c>
      <c r="Y103">
        <v>3</v>
      </c>
      <c r="Z103">
        <v>3</v>
      </c>
      <c r="AA103">
        <v>1</v>
      </c>
      <c r="AB103">
        <v>3</v>
      </c>
      <c r="AC103">
        <v>3</v>
      </c>
      <c r="AD103">
        <v>3</v>
      </c>
      <c r="AE103">
        <v>3</v>
      </c>
      <c r="AF103">
        <v>2</v>
      </c>
    </row>
    <row r="104" spans="1:32" hidden="1" x14ac:dyDescent="0.3">
      <c r="A104" s="2" t="s">
        <v>4</v>
      </c>
      <c r="B104" t="s">
        <v>50</v>
      </c>
      <c r="C104">
        <v>0</v>
      </c>
      <c r="D104">
        <v>0</v>
      </c>
      <c r="E104">
        <v>1</v>
      </c>
      <c r="F104">
        <v>1</v>
      </c>
      <c r="G104">
        <v>0</v>
      </c>
      <c r="H104">
        <v>1</v>
      </c>
      <c r="I104">
        <v>1</v>
      </c>
      <c r="J104">
        <v>1</v>
      </c>
      <c r="K104">
        <v>0</v>
      </c>
      <c r="L104">
        <v>1</v>
      </c>
      <c r="M104">
        <v>0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</row>
    <row r="105" spans="1:32" hidden="1" x14ac:dyDescent="0.3">
      <c r="A105" s="2" t="s">
        <v>5</v>
      </c>
      <c r="B105" t="s">
        <v>51</v>
      </c>
      <c r="C105">
        <v>14.14</v>
      </c>
      <c r="D105">
        <v>16.3</v>
      </c>
      <c r="E105">
        <v>0.27700000000000002</v>
      </c>
      <c r="F105">
        <v>0.187</v>
      </c>
      <c r="G105">
        <v>3.5000000000000003E-2</v>
      </c>
      <c r="H105">
        <v>0</v>
      </c>
      <c r="I105">
        <v>34.69</v>
      </c>
      <c r="J105">
        <v>0</v>
      </c>
      <c r="K105">
        <v>9.1999999999999998E-2</v>
      </c>
      <c r="L105">
        <v>0</v>
      </c>
      <c r="M105">
        <v>0</v>
      </c>
      <c r="N105">
        <v>6.8630000000000004</v>
      </c>
      <c r="O105">
        <v>21.65</v>
      </c>
      <c r="P105">
        <v>6.9000000000000006E-2</v>
      </c>
      <c r="Q105">
        <v>0.22500000000000001</v>
      </c>
      <c r="R105">
        <v>0.02</v>
      </c>
      <c r="S105">
        <v>15.459300000000001</v>
      </c>
      <c r="T105">
        <v>1.0840000000000001</v>
      </c>
      <c r="U105">
        <v>3.6999999999999998E-2</v>
      </c>
      <c r="V105">
        <v>0</v>
      </c>
      <c r="W105">
        <v>0.186</v>
      </c>
      <c r="X105">
        <v>5.7000000000000002E-2</v>
      </c>
      <c r="Y105">
        <v>0.12</v>
      </c>
      <c r="Z105">
        <v>0.16800000000000001</v>
      </c>
      <c r="AA105">
        <v>8.484</v>
      </c>
      <c r="AB105">
        <v>33.799999999999997</v>
      </c>
      <c r="AC105">
        <v>0.180866</v>
      </c>
      <c r="AD105">
        <v>7.8E-2</v>
      </c>
      <c r="AE105">
        <v>0</v>
      </c>
      <c r="AF105">
        <v>0.42299999999999999</v>
      </c>
    </row>
    <row r="106" spans="1:32" hidden="1" x14ac:dyDescent="0.3">
      <c r="A106" s="2" t="s">
        <v>6</v>
      </c>
      <c r="B106" t="s">
        <v>51</v>
      </c>
      <c r="C106">
        <v>8.4928899999999992</v>
      </c>
      <c r="D106">
        <v>10.8264</v>
      </c>
      <c r="E106">
        <v>13.84</v>
      </c>
      <c r="F106">
        <v>12.66</v>
      </c>
      <c r="G106">
        <v>15.35</v>
      </c>
      <c r="H106">
        <v>16.16</v>
      </c>
      <c r="I106">
        <v>17.82</v>
      </c>
      <c r="J106">
        <v>12.38</v>
      </c>
      <c r="K106">
        <v>11.04</v>
      </c>
      <c r="L106">
        <v>17.75</v>
      </c>
      <c r="M106">
        <v>18.489999999999998</v>
      </c>
      <c r="N106">
        <v>16.53</v>
      </c>
      <c r="O106">
        <v>34.409999999999997</v>
      </c>
      <c r="P106">
        <v>21.6</v>
      </c>
      <c r="Q106">
        <v>17.850000000000001</v>
      </c>
      <c r="R106">
        <v>20.55</v>
      </c>
      <c r="S106">
        <v>16.7</v>
      </c>
      <c r="T106">
        <v>18.02</v>
      </c>
      <c r="U106">
        <v>6.63</v>
      </c>
      <c r="V106">
        <v>25.42</v>
      </c>
      <c r="W106">
        <v>15.25</v>
      </c>
      <c r="X106">
        <v>26.54</v>
      </c>
      <c r="Y106">
        <v>20.48</v>
      </c>
      <c r="Z106">
        <v>15.79</v>
      </c>
      <c r="AA106">
        <v>436.08</v>
      </c>
      <c r="AB106">
        <v>9.89</v>
      </c>
      <c r="AC106">
        <v>18.426200000000001</v>
      </c>
      <c r="AD106">
        <v>34.619999999999997</v>
      </c>
      <c r="AE106">
        <v>131.94999999999999</v>
      </c>
      <c r="AF106">
        <v>25.15</v>
      </c>
    </row>
    <row r="107" spans="1:32" hidden="1" x14ac:dyDescent="0.3">
      <c r="A107" s="2" t="s">
        <v>7</v>
      </c>
      <c r="B107" t="s">
        <v>51</v>
      </c>
      <c r="C107">
        <v>11.22</v>
      </c>
      <c r="D107">
        <v>9.8000000000000007</v>
      </c>
      <c r="E107">
        <v>5.83</v>
      </c>
      <c r="F107">
        <v>6.64</v>
      </c>
      <c r="G107">
        <v>7.95</v>
      </c>
      <c r="H107">
        <v>7.6</v>
      </c>
      <c r="I107">
        <v>6.14</v>
      </c>
      <c r="J107">
        <v>6.38</v>
      </c>
      <c r="K107">
        <v>6.63</v>
      </c>
      <c r="L107">
        <v>7.63</v>
      </c>
      <c r="M107">
        <v>8.0399999999999991</v>
      </c>
      <c r="N107">
        <v>7.97</v>
      </c>
      <c r="O107">
        <v>8.9600000000000009</v>
      </c>
      <c r="P107">
        <v>8.66</v>
      </c>
      <c r="Q107">
        <v>9.81</v>
      </c>
      <c r="R107">
        <v>10.02</v>
      </c>
      <c r="S107">
        <v>33.424599999999998</v>
      </c>
      <c r="T107">
        <v>9.93</v>
      </c>
      <c r="U107">
        <v>5.03</v>
      </c>
      <c r="V107">
        <v>18.27</v>
      </c>
      <c r="W107">
        <v>7.47</v>
      </c>
      <c r="X107">
        <v>11.01</v>
      </c>
      <c r="Y107">
        <v>9.8000000000000007</v>
      </c>
      <c r="Z107">
        <v>25.43</v>
      </c>
      <c r="AA107">
        <v>211.18</v>
      </c>
      <c r="AB107">
        <v>5.14</v>
      </c>
      <c r="AC107">
        <v>13.344900000000001</v>
      </c>
      <c r="AD107">
        <v>21.42</v>
      </c>
      <c r="AE107">
        <v>19.18</v>
      </c>
      <c r="AF107">
        <v>9.86</v>
      </c>
    </row>
    <row r="108" spans="1:32" hidden="1" x14ac:dyDescent="0.3">
      <c r="A108" s="2" t="s">
        <v>8</v>
      </c>
      <c r="B108" t="s">
        <v>51</v>
      </c>
      <c r="C108">
        <v>222.86</v>
      </c>
      <c r="D108">
        <v>31.03</v>
      </c>
      <c r="E108">
        <v>8.2899999999999991</v>
      </c>
      <c r="F108">
        <v>5.69</v>
      </c>
      <c r="G108">
        <v>7.57</v>
      </c>
      <c r="H108">
        <v>1.34</v>
      </c>
      <c r="I108">
        <v>5.0199999999999996</v>
      </c>
      <c r="J108">
        <v>9.52</v>
      </c>
      <c r="K108">
        <v>7.07</v>
      </c>
      <c r="L108">
        <v>11.51</v>
      </c>
      <c r="M108">
        <v>17.71</v>
      </c>
      <c r="N108">
        <v>9.0500000000000007</v>
      </c>
      <c r="O108">
        <v>10.77</v>
      </c>
      <c r="P108">
        <v>14.86</v>
      </c>
      <c r="Q108">
        <v>8.81</v>
      </c>
      <c r="R108">
        <v>5.6</v>
      </c>
      <c r="S108">
        <v>9.12514</v>
      </c>
      <c r="T108">
        <v>3.76</v>
      </c>
      <c r="U108">
        <v>0</v>
      </c>
      <c r="V108">
        <v>9.1999999999999993</v>
      </c>
      <c r="W108">
        <v>12.85</v>
      </c>
      <c r="X108">
        <v>12.82</v>
      </c>
      <c r="Y108">
        <v>12.23</v>
      </c>
      <c r="Z108">
        <v>8.8699999999999992</v>
      </c>
      <c r="AA108">
        <v>571.07000000000005</v>
      </c>
      <c r="AB108">
        <v>0.61</v>
      </c>
      <c r="AC108">
        <v>9.5089400000000008</v>
      </c>
      <c r="AD108">
        <v>20.68</v>
      </c>
      <c r="AE108">
        <v>9.58</v>
      </c>
      <c r="AF108">
        <v>14.59</v>
      </c>
    </row>
    <row r="109" spans="1:32" hidden="1" x14ac:dyDescent="0.3">
      <c r="A109" s="2" t="s">
        <v>9</v>
      </c>
      <c r="B109" t="s">
        <v>51</v>
      </c>
      <c r="C109">
        <v>32.4</v>
      </c>
      <c r="D109">
        <v>7.76</v>
      </c>
      <c r="E109">
        <v>20</v>
      </c>
      <c r="F109">
        <v>22.8</v>
      </c>
      <c r="G109">
        <v>25.53</v>
      </c>
      <c r="H109">
        <v>43.5</v>
      </c>
      <c r="I109">
        <v>19.72</v>
      </c>
      <c r="J109">
        <v>25.19</v>
      </c>
      <c r="K109">
        <v>24.62</v>
      </c>
      <c r="L109">
        <v>43</v>
      </c>
      <c r="M109">
        <v>49.64</v>
      </c>
      <c r="N109">
        <v>24.92</v>
      </c>
      <c r="O109">
        <v>63.5</v>
      </c>
      <c r="P109">
        <v>27.36</v>
      </c>
      <c r="Q109">
        <v>165.11</v>
      </c>
      <c r="R109">
        <v>39.76</v>
      </c>
      <c r="S109">
        <v>27.67</v>
      </c>
      <c r="T109">
        <v>201.58</v>
      </c>
      <c r="U109">
        <v>59.99</v>
      </c>
      <c r="V109">
        <v>36.979999999999997</v>
      </c>
      <c r="W109">
        <v>23.88</v>
      </c>
      <c r="X109">
        <v>140</v>
      </c>
      <c r="Y109">
        <v>29.3</v>
      </c>
      <c r="Z109">
        <v>62.37</v>
      </c>
      <c r="AA109">
        <v>1226.05</v>
      </c>
      <c r="AB109">
        <v>43.58</v>
      </c>
      <c r="AC109">
        <v>53.372799999999998</v>
      </c>
      <c r="AD109">
        <v>65.28</v>
      </c>
      <c r="AE109">
        <v>100.44</v>
      </c>
      <c r="AF109">
        <v>260.18</v>
      </c>
    </row>
    <row r="110" spans="1:32" hidden="1" x14ac:dyDescent="0.3">
      <c r="A110" s="2" t="s">
        <v>10</v>
      </c>
      <c r="B110" t="s">
        <v>52</v>
      </c>
      <c r="C110">
        <v>637</v>
      </c>
      <c r="D110">
        <v>557</v>
      </c>
      <c r="E110">
        <v>6.5</v>
      </c>
      <c r="F110">
        <v>8.73</v>
      </c>
      <c r="G110">
        <v>8.76</v>
      </c>
      <c r="H110">
        <v>7.29</v>
      </c>
      <c r="I110">
        <v>7.83</v>
      </c>
      <c r="J110">
        <v>47.06</v>
      </c>
      <c r="K110">
        <v>13.39</v>
      </c>
      <c r="L110">
        <v>17.39</v>
      </c>
      <c r="M110">
        <v>11.24</v>
      </c>
      <c r="N110">
        <v>9.11</v>
      </c>
      <c r="O110">
        <v>15.56</v>
      </c>
      <c r="P110">
        <v>9.82</v>
      </c>
      <c r="Q110">
        <v>13.93</v>
      </c>
      <c r="R110">
        <v>12.08</v>
      </c>
      <c r="S110">
        <v>14.94</v>
      </c>
      <c r="T110">
        <v>9.43</v>
      </c>
      <c r="U110">
        <v>4.46</v>
      </c>
      <c r="V110">
        <v>9.75</v>
      </c>
      <c r="W110">
        <v>11.18</v>
      </c>
      <c r="X110">
        <v>13.27</v>
      </c>
      <c r="Y110">
        <v>10.14</v>
      </c>
      <c r="Z110">
        <v>29.61</v>
      </c>
      <c r="AA110">
        <v>536.16</v>
      </c>
      <c r="AB110">
        <v>6.27</v>
      </c>
      <c r="AC110">
        <v>8.8418700000000001</v>
      </c>
      <c r="AD110">
        <v>20.58</v>
      </c>
      <c r="AE110">
        <v>12.17</v>
      </c>
      <c r="AF110">
        <v>14.08</v>
      </c>
    </row>
    <row r="111" spans="1:32" hidden="1" x14ac:dyDescent="0.3">
      <c r="A111" s="2" t="s">
        <v>11</v>
      </c>
      <c r="B111" t="s">
        <v>53</v>
      </c>
      <c r="C111">
        <v>225.93799999999999</v>
      </c>
      <c r="D111">
        <v>217.839</v>
      </c>
      <c r="E111">
        <v>631</v>
      </c>
      <c r="F111">
        <v>649</v>
      </c>
      <c r="G111">
        <v>417</v>
      </c>
      <c r="H111">
        <v>271</v>
      </c>
      <c r="I111">
        <v>285</v>
      </c>
      <c r="J111">
        <v>256</v>
      </c>
      <c r="K111">
        <v>202</v>
      </c>
      <c r="L111">
        <v>547</v>
      </c>
      <c r="M111">
        <v>649</v>
      </c>
      <c r="N111">
        <v>224</v>
      </c>
      <c r="O111">
        <v>545</v>
      </c>
      <c r="P111">
        <v>278</v>
      </c>
      <c r="Q111">
        <v>254</v>
      </c>
      <c r="R111">
        <v>648</v>
      </c>
      <c r="S111">
        <v>380.50200000000001</v>
      </c>
      <c r="T111">
        <v>412</v>
      </c>
      <c r="U111">
        <v>679</v>
      </c>
      <c r="V111">
        <v>420</v>
      </c>
      <c r="W111">
        <v>572</v>
      </c>
      <c r="X111">
        <v>322</v>
      </c>
      <c r="Y111">
        <v>512</v>
      </c>
      <c r="Z111">
        <v>443</v>
      </c>
      <c r="AA111">
        <v>639</v>
      </c>
      <c r="AB111">
        <v>238</v>
      </c>
      <c r="AC111">
        <v>577</v>
      </c>
      <c r="AD111">
        <v>519</v>
      </c>
      <c r="AE111">
        <v>480</v>
      </c>
      <c r="AF111">
        <v>212</v>
      </c>
    </row>
    <row r="112" spans="1:32" hidden="1" x14ac:dyDescent="0.3">
      <c r="A112" s="2" t="s">
        <v>12</v>
      </c>
      <c r="B112" t="s">
        <v>52</v>
      </c>
      <c r="C112">
        <v>266</v>
      </c>
      <c r="D112">
        <v>129</v>
      </c>
      <c r="E112">
        <v>0</v>
      </c>
      <c r="F112">
        <v>0</v>
      </c>
      <c r="G112">
        <v>200.774</v>
      </c>
      <c r="H112">
        <v>186.29</v>
      </c>
      <c r="I112">
        <v>143.85499999999999</v>
      </c>
      <c r="J112">
        <v>235.15299999999999</v>
      </c>
      <c r="K112">
        <v>144</v>
      </c>
      <c r="L112">
        <v>280</v>
      </c>
      <c r="M112">
        <v>204</v>
      </c>
      <c r="N112">
        <v>138</v>
      </c>
      <c r="O112">
        <v>321</v>
      </c>
      <c r="P112">
        <v>135</v>
      </c>
      <c r="Q112">
        <v>80</v>
      </c>
      <c r="R112">
        <v>521</v>
      </c>
      <c r="S112">
        <v>81.849800000000002</v>
      </c>
      <c r="T112">
        <v>225</v>
      </c>
      <c r="U112">
        <v>48</v>
      </c>
      <c r="V112">
        <v>263</v>
      </c>
      <c r="W112">
        <v>388</v>
      </c>
      <c r="X112">
        <v>123</v>
      </c>
      <c r="Y112">
        <v>329</v>
      </c>
      <c r="Z112">
        <v>110</v>
      </c>
      <c r="AA112">
        <v>509</v>
      </c>
      <c r="AB112">
        <v>161</v>
      </c>
      <c r="AC112">
        <v>314</v>
      </c>
      <c r="AD112">
        <v>68</v>
      </c>
      <c r="AE112">
        <v>99</v>
      </c>
      <c r="AF112">
        <v>118</v>
      </c>
    </row>
    <row r="113" spans="1:67" hidden="1" x14ac:dyDescent="0.3">
      <c r="A113" s="2" t="s">
        <v>13</v>
      </c>
      <c r="B113" t="s">
        <v>52</v>
      </c>
      <c r="C113">
        <v>423.46899999999999</v>
      </c>
      <c r="D113">
        <v>301.89499999999998</v>
      </c>
      <c r="E113">
        <v>500</v>
      </c>
      <c r="F113">
        <v>164</v>
      </c>
      <c r="G113">
        <v>219</v>
      </c>
      <c r="H113">
        <v>200</v>
      </c>
      <c r="I113">
        <v>141</v>
      </c>
      <c r="J113">
        <v>60</v>
      </c>
      <c r="K113">
        <v>53</v>
      </c>
      <c r="L113">
        <v>87</v>
      </c>
      <c r="M113">
        <v>223</v>
      </c>
      <c r="N113">
        <v>248</v>
      </c>
      <c r="O113">
        <v>236</v>
      </c>
      <c r="P113">
        <v>96</v>
      </c>
      <c r="Q113">
        <v>190</v>
      </c>
      <c r="R113">
        <v>421</v>
      </c>
      <c r="S113">
        <v>148.33799999999999</v>
      </c>
      <c r="T113">
        <v>201</v>
      </c>
      <c r="U113">
        <v>102</v>
      </c>
      <c r="V113">
        <v>137</v>
      </c>
      <c r="W113">
        <v>71</v>
      </c>
      <c r="X113">
        <v>111</v>
      </c>
      <c r="Y113">
        <v>118</v>
      </c>
      <c r="Z113">
        <v>169</v>
      </c>
      <c r="AA113">
        <v>201</v>
      </c>
      <c r="AB113">
        <v>409</v>
      </c>
      <c r="AC113">
        <v>132</v>
      </c>
      <c r="AD113">
        <v>96</v>
      </c>
      <c r="AE113">
        <v>79</v>
      </c>
      <c r="AF113">
        <v>489</v>
      </c>
    </row>
    <row r="114" spans="1:67" hidden="1" x14ac:dyDescent="0.3">
      <c r="A114" s="2" t="s">
        <v>14</v>
      </c>
      <c r="B114" t="s">
        <v>54</v>
      </c>
      <c r="C114">
        <v>40</v>
      </c>
      <c r="D114">
        <v>2</v>
      </c>
      <c r="E114">
        <v>0</v>
      </c>
      <c r="F114">
        <v>0</v>
      </c>
      <c r="G114">
        <v>202.92099999999999</v>
      </c>
      <c r="H114">
        <v>178.01300000000001</v>
      </c>
      <c r="I114">
        <v>326.80500000000001</v>
      </c>
      <c r="J114">
        <v>360.59800000000001</v>
      </c>
      <c r="K114">
        <v>58</v>
      </c>
      <c r="L114">
        <v>267</v>
      </c>
      <c r="M114">
        <v>445</v>
      </c>
      <c r="N114">
        <v>86</v>
      </c>
      <c r="O114">
        <v>224</v>
      </c>
      <c r="P114">
        <v>143</v>
      </c>
      <c r="Q114">
        <v>174</v>
      </c>
      <c r="R114">
        <v>127</v>
      </c>
      <c r="S114">
        <v>171.36</v>
      </c>
      <c r="T114">
        <v>187</v>
      </c>
      <c r="U114">
        <v>631</v>
      </c>
      <c r="V114">
        <v>157</v>
      </c>
      <c r="W114">
        <v>184</v>
      </c>
      <c r="X114">
        <v>199</v>
      </c>
      <c r="Y114">
        <v>183</v>
      </c>
      <c r="Z114">
        <v>333</v>
      </c>
      <c r="AA114">
        <v>130</v>
      </c>
      <c r="AB114">
        <v>77</v>
      </c>
      <c r="AC114">
        <v>263</v>
      </c>
      <c r="AD114">
        <v>451</v>
      </c>
      <c r="AE114">
        <v>381</v>
      </c>
      <c r="AF114">
        <v>95</v>
      </c>
    </row>
    <row r="115" spans="1:67" hidden="1" x14ac:dyDescent="0.3">
      <c r="A115" s="2" t="s">
        <v>15</v>
      </c>
      <c r="B115" t="s">
        <v>55</v>
      </c>
      <c r="C115">
        <v>216</v>
      </c>
      <c r="D115">
        <v>85</v>
      </c>
      <c r="E115">
        <v>214</v>
      </c>
      <c r="F115">
        <v>62</v>
      </c>
      <c r="G115">
        <v>22</v>
      </c>
      <c r="H115">
        <v>0</v>
      </c>
      <c r="I115">
        <v>13</v>
      </c>
      <c r="J115">
        <v>55</v>
      </c>
      <c r="K115">
        <v>67</v>
      </c>
      <c r="L115">
        <v>12</v>
      </c>
      <c r="M115">
        <v>72</v>
      </c>
      <c r="N115">
        <v>119</v>
      </c>
      <c r="O115">
        <v>86</v>
      </c>
      <c r="P115">
        <v>0</v>
      </c>
      <c r="Q115">
        <v>36</v>
      </c>
      <c r="R115">
        <v>2</v>
      </c>
      <c r="S115">
        <v>98.268000000000001</v>
      </c>
      <c r="T115">
        <v>5</v>
      </c>
      <c r="U115">
        <v>385</v>
      </c>
      <c r="V115">
        <v>35</v>
      </c>
      <c r="W115">
        <v>253</v>
      </c>
      <c r="X115">
        <v>8</v>
      </c>
      <c r="Y115">
        <v>102</v>
      </c>
      <c r="Z115">
        <v>264</v>
      </c>
      <c r="AA115">
        <v>97</v>
      </c>
      <c r="AB115">
        <v>9</v>
      </c>
      <c r="AC115">
        <v>57.325099999999999</v>
      </c>
      <c r="AD115">
        <v>173</v>
      </c>
      <c r="AE115">
        <v>652</v>
      </c>
      <c r="AF115">
        <v>9</v>
      </c>
    </row>
    <row r="116" spans="1:67" hidden="1" x14ac:dyDescent="0.3">
      <c r="A116" s="2" t="s">
        <v>16</v>
      </c>
      <c r="B116" t="s">
        <v>56</v>
      </c>
      <c r="C116">
        <v>19.98</v>
      </c>
      <c r="D116">
        <v>3.04</v>
      </c>
      <c r="E116">
        <v>123</v>
      </c>
      <c r="F116">
        <v>204</v>
      </c>
      <c r="G116">
        <v>636</v>
      </c>
      <c r="H116">
        <v>106</v>
      </c>
      <c r="I116">
        <v>118</v>
      </c>
      <c r="J116">
        <v>66</v>
      </c>
      <c r="K116">
        <v>74</v>
      </c>
      <c r="L116">
        <v>230</v>
      </c>
      <c r="M116">
        <v>224</v>
      </c>
      <c r="N116">
        <v>118</v>
      </c>
      <c r="O116">
        <v>260</v>
      </c>
      <c r="P116">
        <v>533</v>
      </c>
      <c r="Q116">
        <v>119.158</v>
      </c>
      <c r="R116">
        <v>90</v>
      </c>
      <c r="S116">
        <v>370</v>
      </c>
      <c r="T116">
        <v>459</v>
      </c>
      <c r="U116">
        <v>71</v>
      </c>
      <c r="V116">
        <v>382</v>
      </c>
      <c r="W116">
        <v>176</v>
      </c>
      <c r="X116">
        <v>53</v>
      </c>
      <c r="Y116">
        <v>85</v>
      </c>
      <c r="Z116">
        <v>36</v>
      </c>
      <c r="AA116">
        <v>185</v>
      </c>
      <c r="AB116">
        <v>86</v>
      </c>
      <c r="AC116">
        <v>187.16300000000001</v>
      </c>
      <c r="AD116">
        <v>88</v>
      </c>
      <c r="AE116">
        <v>106</v>
      </c>
      <c r="AF116">
        <v>560</v>
      </c>
    </row>
    <row r="117" spans="1:67" hidden="1" x14ac:dyDescent="0.3">
      <c r="A117" s="2" t="s">
        <v>17</v>
      </c>
      <c r="B117" t="s">
        <v>57</v>
      </c>
      <c r="C117">
        <v>0.56999999999999995</v>
      </c>
      <c r="D117">
        <v>0.13</v>
      </c>
      <c r="E117">
        <v>3.6</v>
      </c>
      <c r="F117">
        <v>16.02</v>
      </c>
      <c r="G117">
        <v>9.52</v>
      </c>
      <c r="H117">
        <v>1.6</v>
      </c>
      <c r="I117">
        <v>2.31</v>
      </c>
      <c r="J117">
        <v>6.7</v>
      </c>
      <c r="K117">
        <v>4.99</v>
      </c>
      <c r="L117">
        <v>15.77</v>
      </c>
      <c r="M117">
        <v>4.83</v>
      </c>
      <c r="N117">
        <v>11.59</v>
      </c>
      <c r="O117">
        <v>32.700000000000003</v>
      </c>
      <c r="P117">
        <v>1.69</v>
      </c>
      <c r="Q117">
        <v>9.9836399999999994</v>
      </c>
      <c r="R117">
        <v>8.33</v>
      </c>
      <c r="S117">
        <v>4.13</v>
      </c>
      <c r="T117">
        <v>3.46</v>
      </c>
      <c r="U117">
        <v>4.7699999999999996</v>
      </c>
      <c r="V117">
        <v>2.0699999999999998</v>
      </c>
      <c r="W117">
        <v>6.06</v>
      </c>
      <c r="X117">
        <v>12.78</v>
      </c>
      <c r="Y117">
        <v>10.029999999999999</v>
      </c>
      <c r="Z117">
        <v>0.74</v>
      </c>
      <c r="AA117">
        <v>3.31</v>
      </c>
      <c r="AB117">
        <v>36.909999999999997</v>
      </c>
      <c r="AC117">
        <v>7.9739399999999998</v>
      </c>
      <c r="AD117">
        <v>11.81</v>
      </c>
      <c r="AE117">
        <v>1.1000000000000001</v>
      </c>
      <c r="AF117">
        <v>7.93</v>
      </c>
    </row>
    <row r="118" spans="1:67" hidden="1" x14ac:dyDescent="0.3">
      <c r="A118" s="2" t="s">
        <v>18</v>
      </c>
      <c r="B118" t="s">
        <v>58</v>
      </c>
      <c r="C118">
        <v>400.5</v>
      </c>
      <c r="D118">
        <v>281.39999999999998</v>
      </c>
      <c r="E118">
        <v>0.64</v>
      </c>
      <c r="F118">
        <v>4.32</v>
      </c>
      <c r="G118">
        <v>0.66</v>
      </c>
      <c r="H118">
        <v>0.39</v>
      </c>
      <c r="I118">
        <v>0.2</v>
      </c>
      <c r="J118">
        <v>0.37</v>
      </c>
      <c r="K118">
        <v>0.6</v>
      </c>
      <c r="L118">
        <v>0.37</v>
      </c>
      <c r="M118">
        <v>0.67</v>
      </c>
      <c r="N118">
        <v>0.4</v>
      </c>
      <c r="O118">
        <v>0.54</v>
      </c>
      <c r="P118">
        <v>0.99</v>
      </c>
      <c r="Q118">
        <v>0.460177</v>
      </c>
      <c r="R118">
        <v>1.29</v>
      </c>
      <c r="S118">
        <v>0.39</v>
      </c>
      <c r="T118">
        <v>0.67</v>
      </c>
      <c r="U118">
        <v>1.2</v>
      </c>
      <c r="V118">
        <v>0.4</v>
      </c>
      <c r="W118">
        <v>0.3</v>
      </c>
      <c r="X118">
        <v>0.4</v>
      </c>
      <c r="Y118">
        <v>1.2</v>
      </c>
      <c r="Z118">
        <v>1.88</v>
      </c>
      <c r="AA118">
        <v>0.66</v>
      </c>
      <c r="AB118">
        <v>0.74</v>
      </c>
      <c r="AC118">
        <v>1.3744499999999999</v>
      </c>
      <c r="AD118">
        <v>2.5499999999999998</v>
      </c>
      <c r="AE118">
        <v>0.72</v>
      </c>
      <c r="AF118">
        <v>0.37</v>
      </c>
    </row>
    <row r="119" spans="1:67" hidden="1" x14ac:dyDescent="0.3">
      <c r="A119" s="2" t="s">
        <v>19</v>
      </c>
      <c r="B119" t="s">
        <v>55</v>
      </c>
      <c r="C119">
        <v>365</v>
      </c>
      <c r="D119">
        <v>228</v>
      </c>
      <c r="E119">
        <v>1654.7</v>
      </c>
      <c r="F119">
        <v>1217.8</v>
      </c>
      <c r="G119">
        <v>1356.7</v>
      </c>
      <c r="H119">
        <v>379.9</v>
      </c>
      <c r="I119">
        <v>320</v>
      </c>
      <c r="J119">
        <v>110.4</v>
      </c>
      <c r="K119">
        <v>106</v>
      </c>
      <c r="L119">
        <v>892.2</v>
      </c>
      <c r="M119">
        <v>578.4</v>
      </c>
      <c r="N119">
        <v>1231.4000000000001</v>
      </c>
      <c r="O119">
        <v>639.20000000000005</v>
      </c>
      <c r="P119">
        <v>1289.3</v>
      </c>
      <c r="Q119">
        <v>1204.52</v>
      </c>
      <c r="R119">
        <v>436.2</v>
      </c>
      <c r="S119">
        <v>331.5</v>
      </c>
      <c r="T119">
        <v>651.9</v>
      </c>
      <c r="U119">
        <v>724.7</v>
      </c>
      <c r="V119">
        <v>731.5</v>
      </c>
      <c r="W119">
        <v>86.2</v>
      </c>
      <c r="X119">
        <v>193.01300000000001</v>
      </c>
      <c r="Y119">
        <v>1052.0999999999999</v>
      </c>
      <c r="Z119">
        <v>257.10000000000002</v>
      </c>
      <c r="AA119">
        <v>310.60000000000002</v>
      </c>
      <c r="AB119">
        <v>891.88800000000003</v>
      </c>
      <c r="AC119">
        <v>126.937</v>
      </c>
      <c r="AD119">
        <v>167.4</v>
      </c>
      <c r="AE119">
        <v>275.3</v>
      </c>
      <c r="AF119">
        <v>490.7</v>
      </c>
    </row>
    <row r="120" spans="1:67" hidden="1" x14ac:dyDescent="0.3">
      <c r="A120" s="2" t="s">
        <v>20</v>
      </c>
      <c r="B120" t="s">
        <v>59</v>
      </c>
      <c r="C120">
        <v>13.89</v>
      </c>
      <c r="D120">
        <v>3.3</v>
      </c>
      <c r="E120">
        <v>512</v>
      </c>
      <c r="F120">
        <v>840</v>
      </c>
      <c r="G120">
        <v>603</v>
      </c>
      <c r="H120">
        <v>705</v>
      </c>
      <c r="I120">
        <v>554</v>
      </c>
      <c r="J120">
        <v>129</v>
      </c>
      <c r="K120">
        <v>584</v>
      </c>
      <c r="L120">
        <v>414</v>
      </c>
      <c r="M120">
        <v>377</v>
      </c>
      <c r="N120">
        <v>598</v>
      </c>
      <c r="O120">
        <v>293</v>
      </c>
      <c r="P120">
        <v>965</v>
      </c>
      <c r="Q120">
        <v>347.39100000000002</v>
      </c>
      <c r="R120">
        <v>439</v>
      </c>
      <c r="S120">
        <v>305</v>
      </c>
      <c r="T120">
        <v>655</v>
      </c>
      <c r="U120">
        <v>461</v>
      </c>
      <c r="V120">
        <v>439</v>
      </c>
      <c r="W120">
        <v>356</v>
      </c>
      <c r="X120">
        <v>290</v>
      </c>
      <c r="Y120">
        <v>749</v>
      </c>
      <c r="Z120">
        <v>266</v>
      </c>
      <c r="AA120">
        <v>330</v>
      </c>
      <c r="AB120">
        <v>431</v>
      </c>
      <c r="AC120">
        <v>536.93799999999999</v>
      </c>
      <c r="AD120">
        <v>352</v>
      </c>
      <c r="AE120">
        <v>543</v>
      </c>
      <c r="AF120">
        <v>272</v>
      </c>
    </row>
    <row r="121" spans="1:67" hidden="1" x14ac:dyDescent="0.3">
      <c r="E121">
        <v>5.9</v>
      </c>
      <c r="F121">
        <v>12.9</v>
      </c>
      <c r="G121">
        <v>7.9</v>
      </c>
      <c r="H121">
        <v>9.1</v>
      </c>
      <c r="I121">
        <v>10</v>
      </c>
      <c r="J121">
        <v>3.6</v>
      </c>
      <c r="K121">
        <v>6.1</v>
      </c>
      <c r="L121">
        <v>3.9</v>
      </c>
      <c r="M121">
        <v>7.1</v>
      </c>
      <c r="N121">
        <v>7.4</v>
      </c>
      <c r="O121">
        <v>8.7736000000000001</v>
      </c>
      <c r="P121">
        <v>7.3</v>
      </c>
      <c r="Q121">
        <v>6.3676899999999996</v>
      </c>
      <c r="R121">
        <v>3.5</v>
      </c>
      <c r="S121">
        <v>4.5</v>
      </c>
      <c r="T121">
        <v>5.4</v>
      </c>
      <c r="U121">
        <v>5.6</v>
      </c>
      <c r="V121">
        <v>4.8600000000000003</v>
      </c>
      <c r="W121">
        <v>9.4</v>
      </c>
      <c r="X121">
        <v>7.48</v>
      </c>
      <c r="Y121">
        <v>6.2</v>
      </c>
      <c r="Z121">
        <v>1.3</v>
      </c>
      <c r="AA121">
        <v>4.8</v>
      </c>
      <c r="AB121">
        <v>13.5</v>
      </c>
      <c r="AC121">
        <v>7.8215399999999997</v>
      </c>
      <c r="AD121">
        <v>6.5</v>
      </c>
      <c r="AE121">
        <v>4.0999999999999996</v>
      </c>
      <c r="AF121">
        <v>14.23</v>
      </c>
    </row>
    <row r="122" spans="1:67" hidden="1" x14ac:dyDescent="0.3">
      <c r="A122" s="31"/>
      <c r="B122" s="31"/>
    </row>
    <row r="123" spans="1:67" hidden="1" x14ac:dyDescent="0.3">
      <c r="B123" s="2"/>
    </row>
    <row r="124" spans="1:67" hidden="1" x14ac:dyDescent="0.3">
      <c r="B124" s="2"/>
      <c r="BO124">
        <f>SUM(AJ124:BM124)</f>
        <v>0</v>
      </c>
    </row>
    <row r="125" spans="1:67" x14ac:dyDescent="0.3">
      <c r="A125" s="31"/>
      <c r="B125" s="31"/>
    </row>
    <row r="126" spans="1:67" x14ac:dyDescent="0.3">
      <c r="B126" s="2"/>
    </row>
    <row r="127" spans="1:67" x14ac:dyDescent="0.3">
      <c r="B127" s="2"/>
      <c r="BO127">
        <f>SUM(AJ127:BM127)</f>
        <v>0</v>
      </c>
    </row>
    <row r="132" spans="3:6" x14ac:dyDescent="0.3">
      <c r="C132" s="28"/>
      <c r="D132" s="28"/>
    </row>
    <row r="133" spans="3:6" x14ac:dyDescent="0.3">
      <c r="D133" s="2"/>
      <c r="E133" s="28"/>
      <c r="F133" s="28"/>
    </row>
    <row r="134" spans="3:6" x14ac:dyDescent="0.3">
      <c r="C134" s="2"/>
    </row>
    <row r="135" spans="3:6" x14ac:dyDescent="0.3">
      <c r="C135" s="3"/>
      <c r="F135" s="2"/>
    </row>
    <row r="136" spans="3:6" x14ac:dyDescent="0.3">
      <c r="C136" s="3"/>
    </row>
    <row r="137" spans="3:6" x14ac:dyDescent="0.3">
      <c r="C137" s="2"/>
    </row>
    <row r="138" spans="3:6" x14ac:dyDescent="0.3">
      <c r="C138" s="3"/>
    </row>
    <row r="139" spans="3:6" x14ac:dyDescent="0.3">
      <c r="C139" s="3"/>
    </row>
  </sheetData>
  <mergeCells count="6">
    <mergeCell ref="A125:B125"/>
    <mergeCell ref="I7:J7"/>
    <mergeCell ref="B3:D3"/>
    <mergeCell ref="A80:B80"/>
    <mergeCell ref="A83:B83"/>
    <mergeCell ref="A122:B1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50C9E-745B-45E8-A152-C318308317D0}">
  <sheetPr codeName="Sheet1"/>
  <dimension ref="A2:P1012"/>
  <sheetViews>
    <sheetView zoomScale="80" workbookViewId="0">
      <selection activeCell="E13" sqref="E13"/>
    </sheetView>
  </sheetViews>
  <sheetFormatPr defaultRowHeight="14.4" x14ac:dyDescent="0.3"/>
  <cols>
    <col min="2" max="2" width="19.21875" customWidth="1"/>
    <col min="3" max="3" width="12.44140625" bestFit="1" customWidth="1"/>
    <col min="11" max="11" width="12" bestFit="1" customWidth="1"/>
    <col min="13" max="13" width="12.6640625" bestFit="1" customWidth="1"/>
  </cols>
  <sheetData>
    <row r="2" spans="1:16" x14ac:dyDescent="0.3">
      <c r="B2" s="2" t="s">
        <v>26</v>
      </c>
      <c r="C2" s="2" t="s">
        <v>46</v>
      </c>
    </row>
    <row r="4" spans="1:16" x14ac:dyDescent="0.3">
      <c r="B4" s="2" t="s">
        <v>21</v>
      </c>
      <c r="C4" s="2" t="s">
        <v>25</v>
      </c>
      <c r="D4" s="2" t="s">
        <v>22</v>
      </c>
      <c r="E4" s="2" t="s">
        <v>23</v>
      </c>
      <c r="F4" s="2" t="s">
        <v>27</v>
      </c>
      <c r="G4" s="2" t="s">
        <v>28</v>
      </c>
    </row>
    <row r="5" spans="1:16" x14ac:dyDescent="0.3">
      <c r="A5" s="2" t="s">
        <v>0</v>
      </c>
      <c r="B5" t="s">
        <v>43</v>
      </c>
      <c r="C5">
        <f t="array" ref="C5:C24">Initial!D5:D24</f>
        <v>1</v>
      </c>
      <c r="D5" t="s">
        <v>24</v>
      </c>
      <c r="E5" t="s">
        <v>24</v>
      </c>
      <c r="G5">
        <f>Characteristics_of_Arm_A!E2</f>
        <v>1</v>
      </c>
      <c r="L5" t="s">
        <v>42</v>
      </c>
      <c r="M5">
        <v>1000</v>
      </c>
    </row>
    <row r="6" spans="1:16" x14ac:dyDescent="0.3">
      <c r="A6" s="2" t="s">
        <v>1</v>
      </c>
      <c r="C6">
        <v>2</v>
      </c>
      <c r="D6" t="s">
        <v>24</v>
      </c>
      <c r="E6" t="s">
        <v>24</v>
      </c>
      <c r="G6">
        <f>Characteristics_of_Arm_A!E3</f>
        <v>2</v>
      </c>
      <c r="L6" t="s">
        <v>41</v>
      </c>
      <c r="M6">
        <f>SUM(M12:M1012)/M5</f>
        <v>0.74299999999999999</v>
      </c>
      <c r="N6" t="str">
        <f>IF(M6&gt;M7,"Benefited","Critical case")</f>
        <v>Benefited</v>
      </c>
      <c r="O6">
        <f>M6</f>
        <v>0.74299999999999999</v>
      </c>
      <c r="P6">
        <f>soc!M6</f>
        <v>0.155</v>
      </c>
    </row>
    <row r="7" spans="1:16" x14ac:dyDescent="0.3">
      <c r="A7" s="2" t="s">
        <v>2</v>
      </c>
      <c r="B7" t="s">
        <v>44</v>
      </c>
      <c r="C7">
        <v>2</v>
      </c>
      <c r="D7" t="s">
        <v>24</v>
      </c>
      <c r="E7" t="s">
        <v>24</v>
      </c>
      <c r="G7">
        <f>Characteristics_of_Arm_A!E4</f>
        <v>2</v>
      </c>
      <c r="L7" t="s">
        <v>38</v>
      </c>
      <c r="M7">
        <f>1-M6</f>
        <v>0.25700000000000001</v>
      </c>
      <c r="O7">
        <f>M7</f>
        <v>0.25700000000000001</v>
      </c>
      <c r="P7">
        <f>soc!M7</f>
        <v>0.84499999999999997</v>
      </c>
    </row>
    <row r="8" spans="1:16" x14ac:dyDescent="0.3">
      <c r="A8" s="2" t="s">
        <v>3</v>
      </c>
      <c r="B8" t="s">
        <v>45</v>
      </c>
      <c r="C8">
        <v>1</v>
      </c>
      <c r="D8" t="s">
        <v>24</v>
      </c>
      <c r="E8" t="s">
        <v>24</v>
      </c>
      <c r="G8">
        <f>Characteristics_of_Arm_A!E5</f>
        <v>1</v>
      </c>
    </row>
    <row r="9" spans="1:16" x14ac:dyDescent="0.3">
      <c r="A9" s="2" t="s">
        <v>4</v>
      </c>
      <c r="C9">
        <v>4.2000000000000003E-2</v>
      </c>
      <c r="D9">
        <v>7.0987250000000002E-3</v>
      </c>
      <c r="E9">
        <v>0.35530127500000003</v>
      </c>
      <c r="F9">
        <f ca="1">C9+NORMINV(RAND(),0,ABS(5*(E9)))</f>
        <v>-0.3005270940177362</v>
      </c>
      <c r="G9">
        <f ca="1">Characteristics_of_Arm_A!E6</f>
        <v>0</v>
      </c>
    </row>
    <row r="10" spans="1:16" x14ac:dyDescent="0.3">
      <c r="A10" s="2" t="s">
        <v>5</v>
      </c>
      <c r="C10">
        <v>18.12</v>
      </c>
      <c r="D10">
        <v>-1.8122499999999999</v>
      </c>
      <c r="E10">
        <v>0.92425000000000002</v>
      </c>
      <c r="F10">
        <f t="shared" ref="F10:F24" ca="1" si="0">C10+NORMINV(RAND(),0,ABS(5*(E10)))</f>
        <v>18.182970683318018</v>
      </c>
      <c r="G10">
        <f ca="1">Characteristics_of_Arm_A!E7</f>
        <v>18.182970683318018</v>
      </c>
    </row>
    <row r="11" spans="1:16" x14ac:dyDescent="0.3">
      <c r="A11" s="2" t="s">
        <v>6</v>
      </c>
      <c r="C11">
        <v>8.69</v>
      </c>
      <c r="D11">
        <v>-0.7</v>
      </c>
      <c r="E11">
        <v>0.152</v>
      </c>
      <c r="F11">
        <f t="shared" ca="1" si="0"/>
        <v>8.0827771021976602</v>
      </c>
      <c r="G11">
        <f ca="1">Characteristics_of_Arm_A!E8</f>
        <v>8.0827771021976602</v>
      </c>
    </row>
    <row r="12" spans="1:16" x14ac:dyDescent="0.3">
      <c r="A12" s="2" t="s">
        <v>7</v>
      </c>
      <c r="C12">
        <v>8.1300000000000008</v>
      </c>
      <c r="D12">
        <v>-1.2222999999999999</v>
      </c>
      <c r="E12">
        <v>1.4507000000000001</v>
      </c>
      <c r="F12">
        <f t="shared" ca="1" si="0"/>
        <v>24.068787965242045</v>
      </c>
      <c r="G12">
        <f ca="1">Characteristics_of_Arm_A!E9</f>
        <v>24.068787965242045</v>
      </c>
      <c r="L12">
        <v>0</v>
      </c>
      <c r="M12">
        <v>1</v>
      </c>
      <c r="N12">
        <v>0.63920711095999283</v>
      </c>
    </row>
    <row r="13" spans="1:16" x14ac:dyDescent="0.3">
      <c r="A13" s="2" t="s">
        <v>8</v>
      </c>
      <c r="C13">
        <v>23.18</v>
      </c>
      <c r="D13">
        <v>-5.0229949999999999</v>
      </c>
      <c r="E13">
        <v>5.9789950000000003</v>
      </c>
      <c r="F13">
        <f t="shared" ca="1" si="0"/>
        <v>90.912955752320187</v>
      </c>
      <c r="G13">
        <f ca="1">Characteristics_of_Arm_A!E10</f>
        <v>90.912955752320187</v>
      </c>
      <c r="L13">
        <v>1</v>
      </c>
      <c r="M13">
        <v>0</v>
      </c>
      <c r="N13">
        <v>0.89173048213645179</v>
      </c>
    </row>
    <row r="14" spans="1:16" x14ac:dyDescent="0.3">
      <c r="A14" s="2" t="s">
        <v>9</v>
      </c>
      <c r="C14">
        <v>14.33</v>
      </c>
      <c r="D14">
        <v>-0.60887449999999999</v>
      </c>
      <c r="E14">
        <v>1.1088745</v>
      </c>
      <c r="F14">
        <f t="shared" ca="1" si="0"/>
        <v>23.206181766928921</v>
      </c>
      <c r="G14">
        <f ca="1">Characteristics_of_Arm_A!E11</f>
        <v>23.206181766928921</v>
      </c>
      <c r="L14">
        <v>2</v>
      </c>
      <c r="M14">
        <v>1</v>
      </c>
      <c r="N14">
        <v>0.64467010682006054</v>
      </c>
    </row>
    <row r="15" spans="1:16" x14ac:dyDescent="0.3">
      <c r="A15" s="2" t="s">
        <v>10</v>
      </c>
      <c r="C15">
        <v>87</v>
      </c>
      <c r="D15">
        <v>-26.640049999999999</v>
      </c>
      <c r="E15">
        <v>136.33244999999999</v>
      </c>
      <c r="F15">
        <f t="shared" ca="1" si="0"/>
        <v>-888.43011486134503</v>
      </c>
      <c r="G15">
        <f ca="1">Characteristics_of_Arm_A!E12</f>
        <v>0</v>
      </c>
      <c r="L15">
        <v>3</v>
      </c>
      <c r="M15">
        <v>1</v>
      </c>
      <c r="N15">
        <v>0.71671507419130243</v>
      </c>
    </row>
    <row r="16" spans="1:16" x14ac:dyDescent="0.3">
      <c r="A16" s="2" t="s">
        <v>11</v>
      </c>
      <c r="C16">
        <v>48.9</v>
      </c>
      <c r="D16">
        <v>-5.3600775000000001</v>
      </c>
      <c r="E16">
        <v>69.990077499999998</v>
      </c>
      <c r="F16">
        <f t="shared" ca="1" si="0"/>
        <v>-141.64237306825328</v>
      </c>
      <c r="G16">
        <f ca="1">Characteristics_of_Arm_A!E13</f>
        <v>0</v>
      </c>
      <c r="L16">
        <v>4</v>
      </c>
      <c r="M16">
        <v>1</v>
      </c>
      <c r="N16">
        <v>0.64187605308564044</v>
      </c>
    </row>
    <row r="17" spans="1:14" x14ac:dyDescent="0.3">
      <c r="A17" s="2" t="s">
        <v>12</v>
      </c>
      <c r="C17">
        <v>89</v>
      </c>
      <c r="D17">
        <v>-7.9078499999999998</v>
      </c>
      <c r="E17">
        <v>9.5078499999999995</v>
      </c>
      <c r="F17">
        <f t="shared" ca="1" si="0"/>
        <v>100.79245136543244</v>
      </c>
      <c r="G17">
        <f ca="1">Characteristics_of_Arm_A!E14</f>
        <v>100.79245136543244</v>
      </c>
      <c r="L17">
        <v>5</v>
      </c>
      <c r="M17">
        <v>0</v>
      </c>
      <c r="N17">
        <v>0.65927305198939834</v>
      </c>
    </row>
    <row r="18" spans="1:14" x14ac:dyDescent="0.3">
      <c r="A18" s="2" t="s">
        <v>13</v>
      </c>
      <c r="C18">
        <v>38</v>
      </c>
      <c r="D18">
        <v>-9.5832499999999996</v>
      </c>
      <c r="E18">
        <v>30.38325</v>
      </c>
      <c r="F18">
        <f t="shared" ca="1" si="0"/>
        <v>186.87351143371561</v>
      </c>
      <c r="G18">
        <f ca="1">Characteristics_of_Arm_A!E15</f>
        <v>186.87351143371561</v>
      </c>
      <c r="L18">
        <v>6</v>
      </c>
      <c r="M18">
        <v>0</v>
      </c>
      <c r="N18">
        <v>0.73601176760868725</v>
      </c>
    </row>
    <row r="19" spans="1:14" x14ac:dyDescent="0.3">
      <c r="A19" s="2" t="s">
        <v>15</v>
      </c>
      <c r="C19">
        <v>66</v>
      </c>
      <c r="D19">
        <v>-12.8013075</v>
      </c>
      <c r="E19">
        <v>7.1109875000000002</v>
      </c>
      <c r="F19">
        <f t="shared" ca="1" si="0"/>
        <v>55.354669599123554</v>
      </c>
      <c r="G19">
        <f ca="1">Characteristics_of_Arm_A!E16</f>
        <v>55.354669599123554</v>
      </c>
      <c r="H19" s="30"/>
      <c r="L19">
        <v>7</v>
      </c>
      <c r="M19">
        <v>1</v>
      </c>
      <c r="N19">
        <v>0.85910345133479371</v>
      </c>
    </row>
    <row r="20" spans="1:14" x14ac:dyDescent="0.3">
      <c r="A20" s="2" t="s">
        <v>16</v>
      </c>
      <c r="C20">
        <v>10.67</v>
      </c>
      <c r="D20">
        <v>-0.6302025</v>
      </c>
      <c r="E20">
        <v>0.49420249999999999</v>
      </c>
      <c r="F20">
        <f t="shared" ca="1" si="0"/>
        <v>14.648014265295021</v>
      </c>
      <c r="G20">
        <f ca="1">Characteristics_of_Arm_A!E17</f>
        <v>14.648014265295021</v>
      </c>
      <c r="L20">
        <v>8</v>
      </c>
      <c r="M20">
        <v>1</v>
      </c>
      <c r="N20">
        <v>0.73351481912319816</v>
      </c>
    </row>
    <row r="21" spans="1:14" x14ac:dyDescent="0.3">
      <c r="A21" s="2" t="s">
        <v>17</v>
      </c>
      <c r="C21">
        <v>0.94</v>
      </c>
      <c r="D21">
        <v>-8.1731200000000004E-2</v>
      </c>
      <c r="E21">
        <v>0.16173119999999999</v>
      </c>
      <c r="F21">
        <f t="shared" ca="1" si="0"/>
        <v>1.9088304013172557</v>
      </c>
      <c r="G21">
        <f ca="1">Characteristics_of_Arm_A!E18</f>
        <v>1.9088304013172557</v>
      </c>
      <c r="L21">
        <v>9</v>
      </c>
      <c r="M21">
        <v>1</v>
      </c>
      <c r="N21">
        <v>0.20348686996516546</v>
      </c>
    </row>
    <row r="22" spans="1:14" x14ac:dyDescent="0.3">
      <c r="A22" s="2" t="s">
        <v>18</v>
      </c>
      <c r="C22">
        <v>697.8</v>
      </c>
      <c r="D22">
        <v>-45.186349999999997</v>
      </c>
      <c r="E22">
        <v>20.626349999999999</v>
      </c>
      <c r="F22">
        <f t="shared" ca="1" si="0"/>
        <v>642.69943215521232</v>
      </c>
      <c r="G22">
        <f ca="1">Characteristics_of_Arm_A!E19</f>
        <v>642.69943215521232</v>
      </c>
      <c r="L22">
        <v>10</v>
      </c>
      <c r="M22">
        <v>1</v>
      </c>
      <c r="N22">
        <v>0.86817517704972802</v>
      </c>
    </row>
    <row r="23" spans="1:14" x14ac:dyDescent="0.3">
      <c r="A23" s="2" t="s">
        <v>19</v>
      </c>
      <c r="C23">
        <v>243</v>
      </c>
      <c r="D23">
        <v>-20.629000000000001</v>
      </c>
      <c r="E23">
        <v>19.829000000000001</v>
      </c>
      <c r="F23">
        <f t="shared" ca="1" si="0"/>
        <v>171.71700407465525</v>
      </c>
      <c r="G23">
        <f ca="1">Characteristics_of_Arm_A!E20</f>
        <v>171.71700407465525</v>
      </c>
      <c r="L23">
        <v>11</v>
      </c>
      <c r="M23">
        <v>1</v>
      </c>
      <c r="N23">
        <v>0.80367697561887019</v>
      </c>
    </row>
    <row r="24" spans="1:14" x14ac:dyDescent="0.3">
      <c r="A24" s="2" t="s">
        <v>20</v>
      </c>
      <c r="C24">
        <v>2.6</v>
      </c>
      <c r="D24">
        <v>3.1446750000000002E-2</v>
      </c>
      <c r="E24">
        <v>0.92858125000000002</v>
      </c>
      <c r="F24">
        <f t="shared" ca="1" si="0"/>
        <v>-10.222337321817365</v>
      </c>
      <c r="G24">
        <f ca="1">Characteristics_of_Arm_A!E21</f>
        <v>0</v>
      </c>
      <c r="L24">
        <v>12</v>
      </c>
      <c r="M24">
        <v>1</v>
      </c>
      <c r="N24">
        <v>0.48399356945792449</v>
      </c>
    </row>
    <row r="25" spans="1:14" x14ac:dyDescent="0.3">
      <c r="L25">
        <v>13</v>
      </c>
      <c r="M25">
        <v>0</v>
      </c>
      <c r="N25">
        <v>0.41502216673825809</v>
      </c>
    </row>
    <row r="26" spans="1:14" x14ac:dyDescent="0.3">
      <c r="L26">
        <v>14</v>
      </c>
      <c r="M26">
        <v>1</v>
      </c>
      <c r="N26">
        <v>0.40615812545456387</v>
      </c>
    </row>
    <row r="27" spans="1:14" x14ac:dyDescent="0.3">
      <c r="L27">
        <v>15</v>
      </c>
      <c r="M27">
        <v>1</v>
      </c>
      <c r="N27">
        <v>0.41802517668854877</v>
      </c>
    </row>
    <row r="28" spans="1:14" x14ac:dyDescent="0.3">
      <c r="E28" t="s">
        <v>40</v>
      </c>
      <c r="F28" t="s">
        <v>40</v>
      </c>
      <c r="L28">
        <v>16</v>
      </c>
      <c r="M28">
        <v>0</v>
      </c>
      <c r="N28">
        <v>0.19367897573665055</v>
      </c>
    </row>
    <row r="29" spans="1:14" x14ac:dyDescent="0.3">
      <c r="E29" t="s">
        <v>41</v>
      </c>
      <c r="F29" t="s">
        <v>38</v>
      </c>
      <c r="L29">
        <v>17</v>
      </c>
      <c r="M29">
        <v>1</v>
      </c>
      <c r="N29">
        <v>0.46942371009419681</v>
      </c>
    </row>
    <row r="30" spans="1:14" x14ac:dyDescent="0.3">
      <c r="E30">
        <f ca="1">Characteristics_of_Arm_A!V8</f>
        <v>0</v>
      </c>
      <c r="F30">
        <f ca="1">Characteristics_of_Arm_A!V5</f>
        <v>0.50810292989298389</v>
      </c>
      <c r="L30">
        <v>18</v>
      </c>
      <c r="M30">
        <v>0</v>
      </c>
      <c r="N30">
        <v>0.75004265356001731</v>
      </c>
    </row>
    <row r="31" spans="1:14" x14ac:dyDescent="0.3">
      <c r="D31" t="s">
        <v>83</v>
      </c>
      <c r="E31">
        <f ca="1">Characteristics_of_Arm_A!Y4</f>
        <v>0.491897070107016</v>
      </c>
      <c r="L31">
        <v>19</v>
      </c>
      <c r="M31">
        <v>0</v>
      </c>
      <c r="N31">
        <v>0.58235674535018767</v>
      </c>
    </row>
    <row r="32" spans="1:14" x14ac:dyDescent="0.3">
      <c r="L32">
        <v>20</v>
      </c>
      <c r="M32">
        <v>1</v>
      </c>
      <c r="N32">
        <v>0.90434071150660755</v>
      </c>
    </row>
    <row r="33" spans="1:14" x14ac:dyDescent="0.3">
      <c r="L33">
        <v>21</v>
      </c>
      <c r="M33">
        <v>0</v>
      </c>
      <c r="N33">
        <v>0.48165923628528667</v>
      </c>
    </row>
    <row r="34" spans="1:14" x14ac:dyDescent="0.3">
      <c r="L34">
        <v>22</v>
      </c>
      <c r="M34">
        <v>1</v>
      </c>
      <c r="N34">
        <v>0.6996813063677978</v>
      </c>
    </row>
    <row r="35" spans="1:14" x14ac:dyDescent="0.3">
      <c r="A35" t="s">
        <v>79</v>
      </c>
      <c r="L35">
        <v>23</v>
      </c>
      <c r="M35">
        <v>0</v>
      </c>
      <c r="N35">
        <v>0.28600852141736144</v>
      </c>
    </row>
    <row r="36" spans="1:14" x14ac:dyDescent="0.3">
      <c r="A36" t="s">
        <v>64</v>
      </c>
      <c r="L36">
        <v>24</v>
      </c>
      <c r="M36">
        <v>1</v>
      </c>
      <c r="N36">
        <v>0.89518907841943174</v>
      </c>
    </row>
    <row r="37" spans="1:14" x14ac:dyDescent="0.3">
      <c r="L37">
        <v>25</v>
      </c>
      <c r="M37">
        <v>0</v>
      </c>
      <c r="N37">
        <v>0.80798427911645132</v>
      </c>
    </row>
    <row r="38" spans="1:14" x14ac:dyDescent="0.3">
      <c r="L38">
        <v>26</v>
      </c>
      <c r="M38">
        <v>1</v>
      </c>
      <c r="N38">
        <v>0.5643678667446822</v>
      </c>
    </row>
    <row r="39" spans="1:14" x14ac:dyDescent="0.3">
      <c r="L39">
        <v>27</v>
      </c>
      <c r="M39">
        <v>1</v>
      </c>
      <c r="N39">
        <v>0.67081578220859972</v>
      </c>
    </row>
    <row r="40" spans="1:14" x14ac:dyDescent="0.3">
      <c r="L40">
        <v>28</v>
      </c>
      <c r="M40">
        <v>1</v>
      </c>
      <c r="N40">
        <v>0.82445084664844526</v>
      </c>
    </row>
    <row r="41" spans="1:14" x14ac:dyDescent="0.3">
      <c r="L41">
        <v>29</v>
      </c>
      <c r="M41">
        <v>1</v>
      </c>
      <c r="N41">
        <v>0.33339932330933492</v>
      </c>
    </row>
    <row r="42" spans="1:14" x14ac:dyDescent="0.3">
      <c r="L42">
        <v>30</v>
      </c>
      <c r="M42">
        <v>1</v>
      </c>
      <c r="N42">
        <v>0.79882374681099044</v>
      </c>
    </row>
    <row r="43" spans="1:14" x14ac:dyDescent="0.3">
      <c r="L43">
        <v>31</v>
      </c>
      <c r="M43">
        <v>1</v>
      </c>
      <c r="N43">
        <v>0.49210240539037386</v>
      </c>
    </row>
    <row r="44" spans="1:14" x14ac:dyDescent="0.3">
      <c r="L44">
        <v>32</v>
      </c>
      <c r="M44">
        <v>1</v>
      </c>
      <c r="N44">
        <v>0.65118863932150139</v>
      </c>
    </row>
    <row r="45" spans="1:14" x14ac:dyDescent="0.3">
      <c r="L45">
        <v>33</v>
      </c>
      <c r="M45">
        <v>0</v>
      </c>
      <c r="N45">
        <v>0.63302642169090628</v>
      </c>
    </row>
    <row r="46" spans="1:14" x14ac:dyDescent="0.3">
      <c r="L46">
        <v>34</v>
      </c>
      <c r="M46">
        <v>1</v>
      </c>
      <c r="N46">
        <v>0.4656491980809529</v>
      </c>
    </row>
    <row r="47" spans="1:14" x14ac:dyDescent="0.3">
      <c r="L47">
        <v>35</v>
      </c>
      <c r="M47">
        <v>1</v>
      </c>
      <c r="N47">
        <v>0.40225843521331972</v>
      </c>
    </row>
    <row r="48" spans="1:14" x14ac:dyDescent="0.3">
      <c r="L48">
        <v>36</v>
      </c>
      <c r="M48">
        <v>0</v>
      </c>
      <c r="N48">
        <v>0.66086974920259223</v>
      </c>
    </row>
    <row r="49" spans="12:14" x14ac:dyDescent="0.3">
      <c r="L49">
        <v>37</v>
      </c>
      <c r="M49">
        <v>1</v>
      </c>
      <c r="N49">
        <v>0.79403779858987977</v>
      </c>
    </row>
    <row r="50" spans="12:14" x14ac:dyDescent="0.3">
      <c r="L50">
        <v>38</v>
      </c>
      <c r="M50">
        <v>1</v>
      </c>
      <c r="N50">
        <v>0.75301581767498649</v>
      </c>
    </row>
    <row r="51" spans="12:14" x14ac:dyDescent="0.3">
      <c r="L51">
        <v>39</v>
      </c>
      <c r="M51">
        <v>1</v>
      </c>
      <c r="N51">
        <v>0.70364268750509062</v>
      </c>
    </row>
    <row r="52" spans="12:14" x14ac:dyDescent="0.3">
      <c r="L52">
        <v>40</v>
      </c>
      <c r="M52">
        <v>0</v>
      </c>
      <c r="N52">
        <v>0.85807520273772697</v>
      </c>
    </row>
    <row r="53" spans="12:14" x14ac:dyDescent="0.3">
      <c r="L53">
        <v>41</v>
      </c>
      <c r="M53">
        <v>0</v>
      </c>
      <c r="N53">
        <v>0.59186268659937147</v>
      </c>
    </row>
    <row r="54" spans="12:14" x14ac:dyDescent="0.3">
      <c r="L54">
        <v>42</v>
      </c>
      <c r="M54">
        <v>1</v>
      </c>
      <c r="N54">
        <v>0.86367246085277505</v>
      </c>
    </row>
    <row r="55" spans="12:14" x14ac:dyDescent="0.3">
      <c r="L55">
        <v>43</v>
      </c>
      <c r="M55">
        <v>1</v>
      </c>
      <c r="N55">
        <v>0.75854395152941811</v>
      </c>
    </row>
    <row r="56" spans="12:14" x14ac:dyDescent="0.3">
      <c r="L56">
        <v>44</v>
      </c>
      <c r="M56">
        <v>1</v>
      </c>
      <c r="N56">
        <v>0.59666832185676255</v>
      </c>
    </row>
    <row r="57" spans="12:14" x14ac:dyDescent="0.3">
      <c r="L57">
        <v>45</v>
      </c>
      <c r="M57">
        <v>1</v>
      </c>
      <c r="N57">
        <v>0.52137910636562645</v>
      </c>
    </row>
    <row r="58" spans="12:14" x14ac:dyDescent="0.3">
      <c r="L58">
        <v>46</v>
      </c>
      <c r="M58">
        <v>1</v>
      </c>
      <c r="N58">
        <v>0.27401819642767689</v>
      </c>
    </row>
    <row r="59" spans="12:14" x14ac:dyDescent="0.3">
      <c r="L59">
        <v>47</v>
      </c>
      <c r="M59">
        <v>0</v>
      </c>
      <c r="N59">
        <v>0.80806438489770815</v>
      </c>
    </row>
    <row r="60" spans="12:14" x14ac:dyDescent="0.3">
      <c r="L60">
        <v>48</v>
      </c>
      <c r="M60">
        <v>1</v>
      </c>
      <c r="N60">
        <v>0.86418285001512252</v>
      </c>
    </row>
    <row r="61" spans="12:14" x14ac:dyDescent="0.3">
      <c r="L61">
        <v>49</v>
      </c>
      <c r="M61">
        <v>1</v>
      </c>
      <c r="N61">
        <v>0.79812888876819676</v>
      </c>
    </row>
    <row r="62" spans="12:14" x14ac:dyDescent="0.3">
      <c r="L62">
        <v>50</v>
      </c>
      <c r="M62">
        <v>1</v>
      </c>
      <c r="N62">
        <v>0.87169951023982384</v>
      </c>
    </row>
    <row r="63" spans="12:14" x14ac:dyDescent="0.3">
      <c r="L63">
        <v>51</v>
      </c>
      <c r="M63">
        <v>0</v>
      </c>
      <c r="N63">
        <v>0.32347127312633572</v>
      </c>
    </row>
    <row r="64" spans="12:14" x14ac:dyDescent="0.3">
      <c r="L64">
        <v>52</v>
      </c>
      <c r="M64">
        <v>0</v>
      </c>
      <c r="N64">
        <v>0.73770481081157746</v>
      </c>
    </row>
    <row r="65" spans="12:14" x14ac:dyDescent="0.3">
      <c r="L65">
        <v>53</v>
      </c>
      <c r="M65">
        <v>1</v>
      </c>
      <c r="N65">
        <v>0.87791820916309893</v>
      </c>
    </row>
    <row r="66" spans="12:14" x14ac:dyDescent="0.3">
      <c r="L66">
        <v>54</v>
      </c>
      <c r="M66">
        <v>1</v>
      </c>
      <c r="N66">
        <v>0.39978176599648374</v>
      </c>
    </row>
    <row r="67" spans="12:14" x14ac:dyDescent="0.3">
      <c r="L67">
        <v>55</v>
      </c>
      <c r="M67">
        <v>0</v>
      </c>
      <c r="N67">
        <v>0.39760777384192802</v>
      </c>
    </row>
    <row r="68" spans="12:14" x14ac:dyDescent="0.3">
      <c r="L68">
        <v>56</v>
      </c>
      <c r="M68">
        <v>1</v>
      </c>
      <c r="N68">
        <v>0.37319609603110659</v>
      </c>
    </row>
    <row r="69" spans="12:14" x14ac:dyDescent="0.3">
      <c r="L69">
        <v>57</v>
      </c>
      <c r="M69">
        <v>1</v>
      </c>
      <c r="N69">
        <v>0.94985665011272036</v>
      </c>
    </row>
    <row r="70" spans="12:14" x14ac:dyDescent="0.3">
      <c r="L70">
        <v>58</v>
      </c>
      <c r="M70">
        <v>0</v>
      </c>
      <c r="N70">
        <v>0.81474683035026219</v>
      </c>
    </row>
    <row r="71" spans="12:14" x14ac:dyDescent="0.3">
      <c r="L71">
        <v>59</v>
      </c>
      <c r="M71">
        <v>0</v>
      </c>
      <c r="N71">
        <v>0.16190405829814425</v>
      </c>
    </row>
    <row r="72" spans="12:14" x14ac:dyDescent="0.3">
      <c r="L72">
        <v>60</v>
      </c>
      <c r="M72">
        <v>1</v>
      </c>
      <c r="N72">
        <v>0.53100121523958821</v>
      </c>
    </row>
    <row r="73" spans="12:14" x14ac:dyDescent="0.3">
      <c r="L73">
        <v>61</v>
      </c>
      <c r="M73">
        <v>0</v>
      </c>
      <c r="N73">
        <v>0.79023444630644268</v>
      </c>
    </row>
    <row r="74" spans="12:14" x14ac:dyDescent="0.3">
      <c r="L74">
        <v>62</v>
      </c>
      <c r="M74">
        <v>1</v>
      </c>
      <c r="N74">
        <v>0.37524982595889722</v>
      </c>
    </row>
    <row r="75" spans="12:14" x14ac:dyDescent="0.3">
      <c r="L75">
        <v>63</v>
      </c>
      <c r="M75">
        <v>1</v>
      </c>
      <c r="N75">
        <v>0.88849103703245713</v>
      </c>
    </row>
    <row r="76" spans="12:14" x14ac:dyDescent="0.3">
      <c r="L76">
        <v>64</v>
      </c>
      <c r="M76">
        <v>1</v>
      </c>
      <c r="N76">
        <v>0.62507897162649173</v>
      </c>
    </row>
    <row r="77" spans="12:14" x14ac:dyDescent="0.3">
      <c r="L77">
        <v>65</v>
      </c>
      <c r="M77">
        <v>1</v>
      </c>
      <c r="N77">
        <v>0.50914753117100642</v>
      </c>
    </row>
    <row r="78" spans="12:14" x14ac:dyDescent="0.3">
      <c r="L78">
        <v>66</v>
      </c>
      <c r="M78">
        <v>1</v>
      </c>
      <c r="N78">
        <v>0.8773637151510405</v>
      </c>
    </row>
    <row r="79" spans="12:14" x14ac:dyDescent="0.3">
      <c r="L79">
        <v>67</v>
      </c>
      <c r="M79">
        <v>1</v>
      </c>
      <c r="N79">
        <v>0.68892856683321557</v>
      </c>
    </row>
    <row r="80" spans="12:14" x14ac:dyDescent="0.3">
      <c r="L80">
        <v>68</v>
      </c>
      <c r="M80">
        <v>1</v>
      </c>
      <c r="N80">
        <v>0.95657360267411151</v>
      </c>
    </row>
    <row r="81" spans="12:14" x14ac:dyDescent="0.3">
      <c r="L81">
        <v>69</v>
      </c>
      <c r="M81">
        <v>1</v>
      </c>
      <c r="N81">
        <v>0.13823629722079295</v>
      </c>
    </row>
    <row r="82" spans="12:14" x14ac:dyDescent="0.3">
      <c r="L82">
        <v>70</v>
      </c>
      <c r="M82">
        <v>1</v>
      </c>
      <c r="N82">
        <v>0.83989064799971758</v>
      </c>
    </row>
    <row r="83" spans="12:14" x14ac:dyDescent="0.3">
      <c r="L83">
        <v>71</v>
      </c>
      <c r="M83">
        <v>1</v>
      </c>
      <c r="N83">
        <v>0.93200451630965442</v>
      </c>
    </row>
    <row r="84" spans="12:14" x14ac:dyDescent="0.3">
      <c r="L84">
        <v>72</v>
      </c>
      <c r="M84">
        <v>1</v>
      </c>
      <c r="N84">
        <v>0.92771554221693853</v>
      </c>
    </row>
    <row r="85" spans="12:14" x14ac:dyDescent="0.3">
      <c r="L85">
        <v>73</v>
      </c>
      <c r="M85">
        <v>1</v>
      </c>
      <c r="N85">
        <v>0.71760579978139738</v>
      </c>
    </row>
    <row r="86" spans="12:14" x14ac:dyDescent="0.3">
      <c r="L86">
        <v>74</v>
      </c>
      <c r="M86">
        <v>1</v>
      </c>
      <c r="N86">
        <v>0.57957231647834084</v>
      </c>
    </row>
    <row r="87" spans="12:14" x14ac:dyDescent="0.3">
      <c r="L87">
        <v>75</v>
      </c>
      <c r="M87">
        <v>1</v>
      </c>
      <c r="N87">
        <v>0.51040260301382268</v>
      </c>
    </row>
    <row r="88" spans="12:14" x14ac:dyDescent="0.3">
      <c r="L88">
        <v>76</v>
      </c>
      <c r="M88">
        <v>1</v>
      </c>
      <c r="N88">
        <v>0.90204326756146913</v>
      </c>
    </row>
    <row r="89" spans="12:14" x14ac:dyDescent="0.3">
      <c r="L89">
        <v>77</v>
      </c>
      <c r="M89">
        <v>1</v>
      </c>
      <c r="N89">
        <v>0.26918167606184767</v>
      </c>
    </row>
    <row r="90" spans="12:14" x14ac:dyDescent="0.3">
      <c r="L90">
        <v>78</v>
      </c>
      <c r="M90">
        <v>1</v>
      </c>
      <c r="N90">
        <v>0.61672704767535547</v>
      </c>
    </row>
    <row r="91" spans="12:14" x14ac:dyDescent="0.3">
      <c r="L91">
        <v>79</v>
      </c>
      <c r="M91">
        <v>1</v>
      </c>
      <c r="N91">
        <v>0.58742570641762482</v>
      </c>
    </row>
    <row r="92" spans="12:14" x14ac:dyDescent="0.3">
      <c r="L92">
        <v>80</v>
      </c>
      <c r="M92">
        <v>1</v>
      </c>
      <c r="N92">
        <v>0.63213567376365698</v>
      </c>
    </row>
    <row r="93" spans="12:14" x14ac:dyDescent="0.3">
      <c r="L93">
        <v>81</v>
      </c>
      <c r="M93">
        <v>0</v>
      </c>
      <c r="N93">
        <v>0.16320381966576455</v>
      </c>
    </row>
    <row r="94" spans="12:14" x14ac:dyDescent="0.3">
      <c r="L94">
        <v>82</v>
      </c>
      <c r="M94">
        <v>1</v>
      </c>
      <c r="N94">
        <v>0.41865894046307989</v>
      </c>
    </row>
    <row r="95" spans="12:14" x14ac:dyDescent="0.3">
      <c r="L95">
        <v>83</v>
      </c>
      <c r="M95">
        <v>0</v>
      </c>
      <c r="N95">
        <v>0.65913504161931957</v>
      </c>
    </row>
    <row r="96" spans="12:14" x14ac:dyDescent="0.3">
      <c r="L96">
        <v>84</v>
      </c>
      <c r="M96">
        <v>0</v>
      </c>
      <c r="N96">
        <v>0.69865500545761128</v>
      </c>
    </row>
    <row r="97" spans="12:14" x14ac:dyDescent="0.3">
      <c r="L97">
        <v>85</v>
      </c>
      <c r="M97">
        <v>0</v>
      </c>
      <c r="N97">
        <v>0.76651661705117424</v>
      </c>
    </row>
    <row r="98" spans="12:14" x14ac:dyDescent="0.3">
      <c r="L98">
        <v>86</v>
      </c>
      <c r="M98">
        <v>1</v>
      </c>
      <c r="N98">
        <v>0.4329560954182749</v>
      </c>
    </row>
    <row r="99" spans="12:14" x14ac:dyDescent="0.3">
      <c r="L99">
        <v>87</v>
      </c>
      <c r="M99">
        <v>1</v>
      </c>
      <c r="N99">
        <v>0.87048813384239021</v>
      </c>
    </row>
    <row r="100" spans="12:14" x14ac:dyDescent="0.3">
      <c r="L100">
        <v>88</v>
      </c>
      <c r="M100">
        <v>1</v>
      </c>
      <c r="N100">
        <v>0.95755841356151905</v>
      </c>
    </row>
    <row r="101" spans="12:14" x14ac:dyDescent="0.3">
      <c r="L101">
        <v>89</v>
      </c>
      <c r="M101">
        <v>1</v>
      </c>
      <c r="N101">
        <v>0.37807209543102765</v>
      </c>
    </row>
    <row r="102" spans="12:14" x14ac:dyDescent="0.3">
      <c r="L102">
        <v>90</v>
      </c>
      <c r="M102">
        <v>1</v>
      </c>
      <c r="N102">
        <v>0.72498501081288991</v>
      </c>
    </row>
    <row r="103" spans="12:14" x14ac:dyDescent="0.3">
      <c r="L103">
        <v>91</v>
      </c>
      <c r="M103">
        <v>1</v>
      </c>
      <c r="N103">
        <v>0.8163597058992984</v>
      </c>
    </row>
    <row r="104" spans="12:14" x14ac:dyDescent="0.3">
      <c r="L104">
        <v>92</v>
      </c>
      <c r="M104">
        <v>1</v>
      </c>
      <c r="N104">
        <v>0.45872473724359858</v>
      </c>
    </row>
    <row r="105" spans="12:14" x14ac:dyDescent="0.3">
      <c r="L105">
        <v>93</v>
      </c>
      <c r="M105">
        <v>1</v>
      </c>
      <c r="N105">
        <v>0.86344659597313411</v>
      </c>
    </row>
    <row r="106" spans="12:14" x14ac:dyDescent="0.3">
      <c r="L106">
        <v>94</v>
      </c>
      <c r="M106">
        <v>1</v>
      </c>
      <c r="N106">
        <v>0.40539763577729371</v>
      </c>
    </row>
    <row r="107" spans="12:14" x14ac:dyDescent="0.3">
      <c r="L107">
        <v>95</v>
      </c>
      <c r="M107">
        <v>1</v>
      </c>
      <c r="N107">
        <v>0.71372043344348191</v>
      </c>
    </row>
    <row r="108" spans="12:14" x14ac:dyDescent="0.3">
      <c r="L108">
        <v>96</v>
      </c>
      <c r="M108">
        <v>1</v>
      </c>
      <c r="N108">
        <v>0.48627286765147426</v>
      </c>
    </row>
    <row r="109" spans="12:14" x14ac:dyDescent="0.3">
      <c r="L109">
        <v>97</v>
      </c>
      <c r="M109">
        <v>0</v>
      </c>
      <c r="N109">
        <v>0.53679941221457805</v>
      </c>
    </row>
    <row r="110" spans="12:14" x14ac:dyDescent="0.3">
      <c r="L110">
        <v>98</v>
      </c>
      <c r="M110">
        <v>1</v>
      </c>
      <c r="N110">
        <v>0.50549826085298444</v>
      </c>
    </row>
    <row r="111" spans="12:14" x14ac:dyDescent="0.3">
      <c r="L111">
        <v>99</v>
      </c>
      <c r="M111">
        <v>1</v>
      </c>
      <c r="N111">
        <v>0.94455667246411945</v>
      </c>
    </row>
    <row r="112" spans="12:14" x14ac:dyDescent="0.3">
      <c r="L112">
        <v>100</v>
      </c>
      <c r="M112">
        <v>0</v>
      </c>
      <c r="N112">
        <v>0.90058714407456919</v>
      </c>
    </row>
    <row r="113" spans="12:14" x14ac:dyDescent="0.3">
      <c r="L113">
        <v>101</v>
      </c>
      <c r="M113">
        <v>1</v>
      </c>
      <c r="N113">
        <v>0.55010547217183037</v>
      </c>
    </row>
    <row r="114" spans="12:14" x14ac:dyDescent="0.3">
      <c r="L114">
        <v>102</v>
      </c>
      <c r="M114">
        <v>1</v>
      </c>
      <c r="N114">
        <v>0.93519257530694344</v>
      </c>
    </row>
    <row r="115" spans="12:14" x14ac:dyDescent="0.3">
      <c r="L115">
        <v>103</v>
      </c>
      <c r="M115">
        <v>1</v>
      </c>
      <c r="N115">
        <v>0.88207902289354378</v>
      </c>
    </row>
    <row r="116" spans="12:14" x14ac:dyDescent="0.3">
      <c r="L116">
        <v>104</v>
      </c>
      <c r="M116">
        <v>1</v>
      </c>
      <c r="N116">
        <v>0.87931175848639687</v>
      </c>
    </row>
    <row r="117" spans="12:14" x14ac:dyDescent="0.3">
      <c r="L117">
        <v>105</v>
      </c>
      <c r="M117">
        <v>0</v>
      </c>
      <c r="N117">
        <v>0.54738748683385108</v>
      </c>
    </row>
    <row r="118" spans="12:14" x14ac:dyDescent="0.3">
      <c r="L118">
        <v>106</v>
      </c>
      <c r="M118">
        <v>0</v>
      </c>
      <c r="N118">
        <v>0.86576634219620618</v>
      </c>
    </row>
    <row r="119" spans="12:14" x14ac:dyDescent="0.3">
      <c r="L119">
        <v>107</v>
      </c>
      <c r="M119">
        <v>1</v>
      </c>
      <c r="N119">
        <v>0.88159095841639823</v>
      </c>
    </row>
    <row r="120" spans="12:14" x14ac:dyDescent="0.3">
      <c r="L120">
        <v>108</v>
      </c>
      <c r="M120">
        <v>1</v>
      </c>
      <c r="N120">
        <v>0.49528667356909228</v>
      </c>
    </row>
    <row r="121" spans="12:14" x14ac:dyDescent="0.3">
      <c r="L121">
        <v>109</v>
      </c>
      <c r="M121">
        <v>1</v>
      </c>
      <c r="N121">
        <v>0.5873670107086747</v>
      </c>
    </row>
    <row r="122" spans="12:14" x14ac:dyDescent="0.3">
      <c r="L122">
        <v>110</v>
      </c>
      <c r="M122">
        <v>0</v>
      </c>
      <c r="N122">
        <v>0.89263078672440854</v>
      </c>
    </row>
    <row r="123" spans="12:14" x14ac:dyDescent="0.3">
      <c r="L123">
        <v>111</v>
      </c>
      <c r="M123">
        <v>1</v>
      </c>
      <c r="N123">
        <v>0.88004376772324722</v>
      </c>
    </row>
    <row r="124" spans="12:14" x14ac:dyDescent="0.3">
      <c r="L124">
        <v>112</v>
      </c>
      <c r="M124">
        <v>1</v>
      </c>
      <c r="N124">
        <v>0.54690335812618429</v>
      </c>
    </row>
    <row r="125" spans="12:14" x14ac:dyDescent="0.3">
      <c r="L125">
        <v>113</v>
      </c>
      <c r="M125">
        <v>1</v>
      </c>
      <c r="N125">
        <v>0.56379101612023952</v>
      </c>
    </row>
    <row r="126" spans="12:14" x14ac:dyDescent="0.3">
      <c r="L126">
        <v>114</v>
      </c>
      <c r="M126">
        <v>1</v>
      </c>
      <c r="N126">
        <v>0.77139348061176904</v>
      </c>
    </row>
    <row r="127" spans="12:14" x14ac:dyDescent="0.3">
      <c r="L127">
        <v>115</v>
      </c>
      <c r="M127">
        <v>1</v>
      </c>
      <c r="N127">
        <v>0.93567167362307502</v>
      </c>
    </row>
    <row r="128" spans="12:14" x14ac:dyDescent="0.3">
      <c r="L128">
        <v>116</v>
      </c>
      <c r="M128">
        <v>1</v>
      </c>
      <c r="N128">
        <v>0.88655069783623885</v>
      </c>
    </row>
    <row r="129" spans="12:14" x14ac:dyDescent="0.3">
      <c r="L129">
        <v>117</v>
      </c>
      <c r="M129">
        <v>1</v>
      </c>
      <c r="N129">
        <v>0.77446828772042942</v>
      </c>
    </row>
    <row r="130" spans="12:14" x14ac:dyDescent="0.3">
      <c r="L130">
        <v>118</v>
      </c>
      <c r="M130">
        <v>0</v>
      </c>
      <c r="N130">
        <v>0.54199983358448012</v>
      </c>
    </row>
    <row r="131" spans="12:14" x14ac:dyDescent="0.3">
      <c r="L131">
        <v>119</v>
      </c>
      <c r="M131">
        <v>1</v>
      </c>
      <c r="N131">
        <v>0.87370499162455384</v>
      </c>
    </row>
    <row r="132" spans="12:14" x14ac:dyDescent="0.3">
      <c r="L132">
        <v>120</v>
      </c>
      <c r="M132">
        <v>0</v>
      </c>
      <c r="N132">
        <v>0.42670228830860735</v>
      </c>
    </row>
    <row r="133" spans="12:14" x14ac:dyDescent="0.3">
      <c r="L133">
        <v>121</v>
      </c>
      <c r="M133">
        <v>1</v>
      </c>
      <c r="N133">
        <v>0.78174726879033307</v>
      </c>
    </row>
    <row r="134" spans="12:14" x14ac:dyDescent="0.3">
      <c r="L134">
        <v>122</v>
      </c>
      <c r="M134">
        <v>0</v>
      </c>
      <c r="N134">
        <v>0.42129980239549797</v>
      </c>
    </row>
    <row r="135" spans="12:14" x14ac:dyDescent="0.3">
      <c r="L135">
        <v>123</v>
      </c>
      <c r="M135">
        <v>1</v>
      </c>
      <c r="N135">
        <v>0.66558504317458445</v>
      </c>
    </row>
    <row r="136" spans="12:14" x14ac:dyDescent="0.3">
      <c r="L136">
        <v>124</v>
      </c>
      <c r="M136">
        <v>1</v>
      </c>
      <c r="N136">
        <v>0.55035172934896015</v>
      </c>
    </row>
    <row r="137" spans="12:14" x14ac:dyDescent="0.3">
      <c r="L137">
        <v>125</v>
      </c>
      <c r="M137">
        <v>1</v>
      </c>
      <c r="N137">
        <v>0.63307741964583064</v>
      </c>
    </row>
    <row r="138" spans="12:14" x14ac:dyDescent="0.3">
      <c r="L138">
        <v>126</v>
      </c>
      <c r="M138">
        <v>1</v>
      </c>
      <c r="N138">
        <v>0.50463593398848139</v>
      </c>
    </row>
    <row r="139" spans="12:14" x14ac:dyDescent="0.3">
      <c r="L139">
        <v>127</v>
      </c>
      <c r="M139">
        <v>1</v>
      </c>
      <c r="N139">
        <v>0.520794051622539</v>
      </c>
    </row>
    <row r="140" spans="12:14" x14ac:dyDescent="0.3">
      <c r="L140">
        <v>128</v>
      </c>
      <c r="M140">
        <v>1</v>
      </c>
      <c r="N140">
        <v>0.36868129755497075</v>
      </c>
    </row>
    <row r="141" spans="12:14" x14ac:dyDescent="0.3">
      <c r="L141">
        <v>129</v>
      </c>
      <c r="M141">
        <v>1</v>
      </c>
      <c r="N141">
        <v>0.86388276411905263</v>
      </c>
    </row>
    <row r="142" spans="12:14" x14ac:dyDescent="0.3">
      <c r="L142">
        <v>130</v>
      </c>
      <c r="M142">
        <v>1</v>
      </c>
      <c r="N142">
        <v>0.71609891389685032</v>
      </c>
    </row>
    <row r="143" spans="12:14" x14ac:dyDescent="0.3">
      <c r="L143">
        <v>131</v>
      </c>
      <c r="M143">
        <v>0</v>
      </c>
      <c r="N143">
        <v>0.6392457617228845</v>
      </c>
    </row>
    <row r="144" spans="12:14" x14ac:dyDescent="0.3">
      <c r="L144">
        <v>132</v>
      </c>
      <c r="M144">
        <v>1</v>
      </c>
      <c r="N144">
        <v>0.94057333400952181</v>
      </c>
    </row>
    <row r="145" spans="12:14" x14ac:dyDescent="0.3">
      <c r="L145">
        <v>133</v>
      </c>
      <c r="M145">
        <v>1</v>
      </c>
      <c r="N145">
        <v>0.80476023543046027</v>
      </c>
    </row>
    <row r="146" spans="12:14" x14ac:dyDescent="0.3">
      <c r="L146">
        <v>134</v>
      </c>
      <c r="M146">
        <v>0</v>
      </c>
      <c r="N146">
        <v>0.23059731498359351</v>
      </c>
    </row>
    <row r="147" spans="12:14" x14ac:dyDescent="0.3">
      <c r="L147">
        <v>135</v>
      </c>
      <c r="M147">
        <v>0</v>
      </c>
      <c r="N147">
        <v>0.78339463121644959</v>
      </c>
    </row>
    <row r="148" spans="12:14" x14ac:dyDescent="0.3">
      <c r="L148">
        <v>136</v>
      </c>
      <c r="M148">
        <v>1</v>
      </c>
      <c r="N148">
        <v>0.98586640345271925</v>
      </c>
    </row>
    <row r="149" spans="12:14" x14ac:dyDescent="0.3">
      <c r="L149">
        <v>137</v>
      </c>
      <c r="M149">
        <v>0</v>
      </c>
      <c r="N149">
        <v>0.66088502210459066</v>
      </c>
    </row>
    <row r="150" spans="12:14" x14ac:dyDescent="0.3">
      <c r="L150">
        <v>138</v>
      </c>
      <c r="M150">
        <v>0</v>
      </c>
      <c r="N150">
        <v>0.70021876484329504</v>
      </c>
    </row>
    <row r="151" spans="12:14" x14ac:dyDescent="0.3">
      <c r="L151">
        <v>139</v>
      </c>
      <c r="M151">
        <v>1</v>
      </c>
      <c r="N151">
        <v>0.49472618358902276</v>
      </c>
    </row>
    <row r="152" spans="12:14" x14ac:dyDescent="0.3">
      <c r="L152">
        <v>140</v>
      </c>
      <c r="M152">
        <v>1</v>
      </c>
      <c r="N152">
        <v>0.86150580089340878</v>
      </c>
    </row>
    <row r="153" spans="12:14" x14ac:dyDescent="0.3">
      <c r="L153">
        <v>141</v>
      </c>
      <c r="M153">
        <v>1</v>
      </c>
      <c r="N153">
        <v>0.86623383919326424</v>
      </c>
    </row>
    <row r="154" spans="12:14" x14ac:dyDescent="0.3">
      <c r="L154">
        <v>142</v>
      </c>
      <c r="M154">
        <v>1</v>
      </c>
      <c r="N154">
        <v>0.78523985654244155</v>
      </c>
    </row>
    <row r="155" spans="12:14" x14ac:dyDescent="0.3">
      <c r="L155">
        <v>143</v>
      </c>
      <c r="M155">
        <v>0</v>
      </c>
      <c r="N155">
        <v>0.52979976354770064</v>
      </c>
    </row>
    <row r="156" spans="12:14" x14ac:dyDescent="0.3">
      <c r="L156">
        <v>144</v>
      </c>
      <c r="M156">
        <v>1</v>
      </c>
      <c r="N156">
        <v>0.62381152307606025</v>
      </c>
    </row>
    <row r="157" spans="12:14" x14ac:dyDescent="0.3">
      <c r="L157">
        <v>145</v>
      </c>
      <c r="M157">
        <v>1</v>
      </c>
      <c r="N157">
        <v>0.64969156555528007</v>
      </c>
    </row>
    <row r="158" spans="12:14" x14ac:dyDescent="0.3">
      <c r="L158">
        <v>146</v>
      </c>
      <c r="M158">
        <v>1</v>
      </c>
      <c r="N158">
        <v>0.6747435441000178</v>
      </c>
    </row>
    <row r="159" spans="12:14" x14ac:dyDescent="0.3">
      <c r="L159">
        <v>147</v>
      </c>
      <c r="M159">
        <v>1</v>
      </c>
      <c r="N159">
        <v>0.68177829439352622</v>
      </c>
    </row>
    <row r="160" spans="12:14" x14ac:dyDescent="0.3">
      <c r="L160">
        <v>148</v>
      </c>
      <c r="M160">
        <v>1</v>
      </c>
      <c r="N160">
        <v>0.82738023304114694</v>
      </c>
    </row>
    <row r="161" spans="12:14" x14ac:dyDescent="0.3">
      <c r="L161">
        <v>149</v>
      </c>
      <c r="M161">
        <v>0</v>
      </c>
      <c r="N161">
        <v>0.66015957809775383</v>
      </c>
    </row>
    <row r="162" spans="12:14" x14ac:dyDescent="0.3">
      <c r="L162">
        <v>150</v>
      </c>
      <c r="M162">
        <v>1</v>
      </c>
      <c r="N162">
        <v>0.44847709160413918</v>
      </c>
    </row>
    <row r="163" spans="12:14" x14ac:dyDescent="0.3">
      <c r="L163">
        <v>151</v>
      </c>
      <c r="M163">
        <v>1</v>
      </c>
      <c r="N163">
        <v>0.95511052164780785</v>
      </c>
    </row>
    <row r="164" spans="12:14" x14ac:dyDescent="0.3">
      <c r="L164">
        <v>152</v>
      </c>
      <c r="M164">
        <v>1</v>
      </c>
      <c r="N164">
        <v>0.66088555906732671</v>
      </c>
    </row>
    <row r="165" spans="12:14" x14ac:dyDescent="0.3">
      <c r="L165">
        <v>153</v>
      </c>
      <c r="M165">
        <v>1</v>
      </c>
      <c r="N165">
        <v>0.71698783739150929</v>
      </c>
    </row>
    <row r="166" spans="12:14" x14ac:dyDescent="0.3">
      <c r="L166">
        <v>154</v>
      </c>
      <c r="M166">
        <v>1</v>
      </c>
      <c r="N166">
        <v>0.92418262648074223</v>
      </c>
    </row>
    <row r="167" spans="12:14" x14ac:dyDescent="0.3">
      <c r="L167">
        <v>155</v>
      </c>
      <c r="M167">
        <v>0</v>
      </c>
      <c r="N167">
        <v>0.48534234145837601</v>
      </c>
    </row>
    <row r="168" spans="12:14" x14ac:dyDescent="0.3">
      <c r="L168">
        <v>156</v>
      </c>
      <c r="M168">
        <v>1</v>
      </c>
      <c r="N168">
        <v>0.38623147569259242</v>
      </c>
    </row>
    <row r="169" spans="12:14" x14ac:dyDescent="0.3">
      <c r="L169">
        <v>157</v>
      </c>
      <c r="M169">
        <v>1</v>
      </c>
      <c r="N169">
        <v>0.25140748089340653</v>
      </c>
    </row>
    <row r="170" spans="12:14" x14ac:dyDescent="0.3">
      <c r="L170">
        <v>158</v>
      </c>
      <c r="M170">
        <v>1</v>
      </c>
      <c r="N170">
        <v>0.39215503240780142</v>
      </c>
    </row>
    <row r="171" spans="12:14" x14ac:dyDescent="0.3">
      <c r="L171">
        <v>159</v>
      </c>
      <c r="M171">
        <v>1</v>
      </c>
      <c r="N171">
        <v>0.82857139489098763</v>
      </c>
    </row>
    <row r="172" spans="12:14" x14ac:dyDescent="0.3">
      <c r="L172">
        <v>160</v>
      </c>
      <c r="M172">
        <v>0</v>
      </c>
      <c r="N172">
        <v>0.24190764283604491</v>
      </c>
    </row>
    <row r="173" spans="12:14" x14ac:dyDescent="0.3">
      <c r="L173">
        <v>161</v>
      </c>
      <c r="M173">
        <v>0</v>
      </c>
      <c r="N173">
        <v>0.81193663273578653</v>
      </c>
    </row>
    <row r="174" spans="12:14" x14ac:dyDescent="0.3">
      <c r="L174">
        <v>162</v>
      </c>
      <c r="M174">
        <v>0</v>
      </c>
      <c r="N174">
        <v>0.71113776840886245</v>
      </c>
    </row>
    <row r="175" spans="12:14" x14ac:dyDescent="0.3">
      <c r="L175">
        <v>163</v>
      </c>
      <c r="M175">
        <v>1</v>
      </c>
      <c r="N175">
        <v>0.34281928578753074</v>
      </c>
    </row>
    <row r="176" spans="12:14" x14ac:dyDescent="0.3">
      <c r="L176">
        <v>164</v>
      </c>
      <c r="M176">
        <v>0</v>
      </c>
      <c r="N176">
        <v>0.82477974860157377</v>
      </c>
    </row>
    <row r="177" spans="12:14" x14ac:dyDescent="0.3">
      <c r="L177">
        <v>165</v>
      </c>
      <c r="M177">
        <v>1</v>
      </c>
      <c r="N177">
        <v>0.5569020453936594</v>
      </c>
    </row>
    <row r="178" spans="12:14" x14ac:dyDescent="0.3">
      <c r="L178">
        <v>166</v>
      </c>
      <c r="M178">
        <v>1</v>
      </c>
      <c r="N178">
        <v>0.51194999730545865</v>
      </c>
    </row>
    <row r="179" spans="12:14" x14ac:dyDescent="0.3">
      <c r="L179">
        <v>167</v>
      </c>
      <c r="M179">
        <v>1</v>
      </c>
      <c r="N179">
        <v>0.96486806973561645</v>
      </c>
    </row>
    <row r="180" spans="12:14" x14ac:dyDescent="0.3">
      <c r="L180">
        <v>168</v>
      </c>
      <c r="M180">
        <v>0</v>
      </c>
      <c r="N180">
        <v>0.56925396738282763</v>
      </c>
    </row>
    <row r="181" spans="12:14" x14ac:dyDescent="0.3">
      <c r="L181">
        <v>169</v>
      </c>
      <c r="M181">
        <v>1</v>
      </c>
      <c r="N181">
        <v>0.75559674071040184</v>
      </c>
    </row>
    <row r="182" spans="12:14" x14ac:dyDescent="0.3">
      <c r="L182">
        <v>170</v>
      </c>
      <c r="M182">
        <v>1</v>
      </c>
      <c r="N182">
        <v>0.75646236979718418</v>
      </c>
    </row>
    <row r="183" spans="12:14" x14ac:dyDescent="0.3">
      <c r="L183">
        <v>171</v>
      </c>
      <c r="M183">
        <v>1</v>
      </c>
      <c r="N183">
        <v>0.38864197319924232</v>
      </c>
    </row>
    <row r="184" spans="12:14" x14ac:dyDescent="0.3">
      <c r="L184">
        <v>172</v>
      </c>
      <c r="M184">
        <v>1</v>
      </c>
      <c r="N184">
        <v>0.86826633562980837</v>
      </c>
    </row>
    <row r="185" spans="12:14" x14ac:dyDescent="0.3">
      <c r="L185">
        <v>173</v>
      </c>
      <c r="M185">
        <v>1</v>
      </c>
      <c r="N185">
        <v>0.82313700132045864</v>
      </c>
    </row>
    <row r="186" spans="12:14" x14ac:dyDescent="0.3">
      <c r="L186">
        <v>174</v>
      </c>
      <c r="M186">
        <v>0</v>
      </c>
      <c r="N186">
        <v>0.89011239364583383</v>
      </c>
    </row>
    <row r="187" spans="12:14" x14ac:dyDescent="0.3">
      <c r="L187">
        <v>175</v>
      </c>
      <c r="M187">
        <v>0</v>
      </c>
      <c r="N187">
        <v>0.59800976805702566</v>
      </c>
    </row>
    <row r="188" spans="12:14" x14ac:dyDescent="0.3">
      <c r="L188">
        <v>176</v>
      </c>
      <c r="M188">
        <v>1</v>
      </c>
      <c r="N188">
        <v>0.75397296051551432</v>
      </c>
    </row>
    <row r="189" spans="12:14" x14ac:dyDescent="0.3">
      <c r="L189">
        <v>177</v>
      </c>
      <c r="M189">
        <v>0</v>
      </c>
      <c r="N189">
        <v>0.4815427348573903</v>
      </c>
    </row>
    <row r="190" spans="12:14" x14ac:dyDescent="0.3">
      <c r="L190">
        <v>178</v>
      </c>
      <c r="M190">
        <v>0</v>
      </c>
      <c r="N190">
        <v>0.83150101166082324</v>
      </c>
    </row>
    <row r="191" spans="12:14" x14ac:dyDescent="0.3">
      <c r="L191">
        <v>179</v>
      </c>
      <c r="M191">
        <v>1</v>
      </c>
      <c r="N191">
        <v>0.38489576932569269</v>
      </c>
    </row>
    <row r="192" spans="12:14" x14ac:dyDescent="0.3">
      <c r="L192">
        <v>180</v>
      </c>
      <c r="M192">
        <v>1</v>
      </c>
      <c r="N192">
        <v>0.66666264745870207</v>
      </c>
    </row>
    <row r="193" spans="12:14" x14ac:dyDescent="0.3">
      <c r="L193">
        <v>181</v>
      </c>
      <c r="M193">
        <v>1</v>
      </c>
      <c r="N193">
        <v>0.22426731660610486</v>
      </c>
    </row>
    <row r="194" spans="12:14" x14ac:dyDescent="0.3">
      <c r="L194">
        <v>182</v>
      </c>
      <c r="M194">
        <v>1</v>
      </c>
      <c r="N194">
        <v>0.42868558005671009</v>
      </c>
    </row>
    <row r="195" spans="12:14" x14ac:dyDescent="0.3">
      <c r="L195">
        <v>183</v>
      </c>
      <c r="M195">
        <v>0</v>
      </c>
      <c r="N195">
        <v>0.45123178567307093</v>
      </c>
    </row>
    <row r="196" spans="12:14" x14ac:dyDescent="0.3">
      <c r="L196">
        <v>184</v>
      </c>
      <c r="M196">
        <v>0</v>
      </c>
      <c r="N196">
        <v>0.83832383661526522</v>
      </c>
    </row>
    <row r="197" spans="12:14" x14ac:dyDescent="0.3">
      <c r="L197">
        <v>185</v>
      </c>
      <c r="M197">
        <v>0</v>
      </c>
      <c r="N197">
        <v>0.67977861445070265</v>
      </c>
    </row>
    <row r="198" spans="12:14" x14ac:dyDescent="0.3">
      <c r="L198">
        <v>186</v>
      </c>
      <c r="M198">
        <v>1</v>
      </c>
      <c r="N198">
        <v>0.88544527540505324</v>
      </c>
    </row>
    <row r="199" spans="12:14" x14ac:dyDescent="0.3">
      <c r="L199">
        <v>187</v>
      </c>
      <c r="M199">
        <v>1</v>
      </c>
      <c r="N199">
        <v>0.50415131177504535</v>
      </c>
    </row>
    <row r="200" spans="12:14" x14ac:dyDescent="0.3">
      <c r="L200">
        <v>188</v>
      </c>
      <c r="M200">
        <v>1</v>
      </c>
      <c r="N200">
        <v>0.56918913282813288</v>
      </c>
    </row>
    <row r="201" spans="12:14" x14ac:dyDescent="0.3">
      <c r="L201">
        <v>189</v>
      </c>
      <c r="M201">
        <v>1</v>
      </c>
      <c r="N201">
        <v>0.91155090837203834</v>
      </c>
    </row>
    <row r="202" spans="12:14" x14ac:dyDescent="0.3">
      <c r="L202">
        <v>190</v>
      </c>
      <c r="M202">
        <v>1</v>
      </c>
      <c r="N202">
        <v>0.56787477522810481</v>
      </c>
    </row>
    <row r="203" spans="12:14" x14ac:dyDescent="0.3">
      <c r="L203">
        <v>191</v>
      </c>
      <c r="M203">
        <v>1</v>
      </c>
      <c r="N203">
        <v>0.52106844361118054</v>
      </c>
    </row>
    <row r="204" spans="12:14" x14ac:dyDescent="0.3">
      <c r="L204">
        <v>192</v>
      </c>
      <c r="M204">
        <v>1</v>
      </c>
      <c r="N204">
        <v>0.86342253372753863</v>
      </c>
    </row>
    <row r="205" spans="12:14" x14ac:dyDescent="0.3">
      <c r="L205">
        <v>193</v>
      </c>
      <c r="M205">
        <v>1</v>
      </c>
      <c r="N205">
        <v>0.70378190497898674</v>
      </c>
    </row>
    <row r="206" spans="12:14" x14ac:dyDescent="0.3">
      <c r="L206">
        <v>194</v>
      </c>
      <c r="M206">
        <v>0</v>
      </c>
      <c r="N206">
        <v>0.90523286925554469</v>
      </c>
    </row>
    <row r="207" spans="12:14" x14ac:dyDescent="0.3">
      <c r="L207">
        <v>195</v>
      </c>
      <c r="M207">
        <v>1</v>
      </c>
      <c r="N207">
        <v>0.5695194776126814</v>
      </c>
    </row>
    <row r="208" spans="12:14" x14ac:dyDescent="0.3">
      <c r="L208">
        <v>196</v>
      </c>
      <c r="M208">
        <v>0</v>
      </c>
      <c r="N208">
        <v>0.89031570498120471</v>
      </c>
    </row>
    <row r="209" spans="12:14" x14ac:dyDescent="0.3">
      <c r="L209">
        <v>197</v>
      </c>
      <c r="M209">
        <v>1</v>
      </c>
      <c r="N209">
        <v>0.91986791805793033</v>
      </c>
    </row>
    <row r="210" spans="12:14" x14ac:dyDescent="0.3">
      <c r="L210">
        <v>198</v>
      </c>
      <c r="M210">
        <v>1</v>
      </c>
      <c r="N210">
        <v>0.61406233595276094</v>
      </c>
    </row>
    <row r="211" spans="12:14" x14ac:dyDescent="0.3">
      <c r="L211">
        <v>199</v>
      </c>
      <c r="M211">
        <v>1</v>
      </c>
      <c r="N211">
        <v>0.79216217824471213</v>
      </c>
    </row>
    <row r="212" spans="12:14" x14ac:dyDescent="0.3">
      <c r="L212">
        <v>200</v>
      </c>
      <c r="M212">
        <v>0</v>
      </c>
      <c r="N212">
        <v>0.39275789166674163</v>
      </c>
    </row>
    <row r="213" spans="12:14" x14ac:dyDescent="0.3">
      <c r="L213">
        <v>201</v>
      </c>
      <c r="M213">
        <v>1</v>
      </c>
      <c r="N213">
        <v>0.65480585506854783</v>
      </c>
    </row>
    <row r="214" spans="12:14" x14ac:dyDescent="0.3">
      <c r="L214">
        <v>202</v>
      </c>
      <c r="M214">
        <v>1</v>
      </c>
      <c r="N214">
        <v>0.72129491136182922</v>
      </c>
    </row>
    <row r="215" spans="12:14" x14ac:dyDescent="0.3">
      <c r="L215">
        <v>203</v>
      </c>
      <c r="M215">
        <v>1</v>
      </c>
      <c r="N215">
        <v>0.66815162944653161</v>
      </c>
    </row>
    <row r="216" spans="12:14" x14ac:dyDescent="0.3">
      <c r="L216">
        <v>204</v>
      </c>
      <c r="M216">
        <v>1</v>
      </c>
      <c r="N216">
        <v>0.89338200684658442</v>
      </c>
    </row>
    <row r="217" spans="12:14" x14ac:dyDescent="0.3">
      <c r="L217">
        <v>205</v>
      </c>
      <c r="M217">
        <v>1</v>
      </c>
      <c r="N217">
        <v>0.91332498928547468</v>
      </c>
    </row>
    <row r="218" spans="12:14" x14ac:dyDescent="0.3">
      <c r="L218">
        <v>206</v>
      </c>
      <c r="M218">
        <v>1</v>
      </c>
      <c r="N218">
        <v>0.9239531777844876</v>
      </c>
    </row>
    <row r="219" spans="12:14" x14ac:dyDescent="0.3">
      <c r="L219">
        <v>207</v>
      </c>
      <c r="M219">
        <v>1</v>
      </c>
      <c r="N219">
        <v>0.48922148967281487</v>
      </c>
    </row>
    <row r="220" spans="12:14" x14ac:dyDescent="0.3">
      <c r="L220">
        <v>208</v>
      </c>
      <c r="M220">
        <v>1</v>
      </c>
      <c r="N220">
        <v>0.80341419034744443</v>
      </c>
    </row>
    <row r="221" spans="12:14" x14ac:dyDescent="0.3">
      <c r="L221">
        <v>209</v>
      </c>
      <c r="M221">
        <v>1</v>
      </c>
      <c r="N221">
        <v>0.26462338887419246</v>
      </c>
    </row>
    <row r="222" spans="12:14" x14ac:dyDescent="0.3">
      <c r="L222">
        <v>210</v>
      </c>
      <c r="M222">
        <v>1</v>
      </c>
      <c r="N222">
        <v>0.96163669027013543</v>
      </c>
    </row>
    <row r="223" spans="12:14" x14ac:dyDescent="0.3">
      <c r="L223">
        <v>211</v>
      </c>
      <c r="M223">
        <v>1</v>
      </c>
      <c r="N223">
        <v>0.60652073107452886</v>
      </c>
    </row>
    <row r="224" spans="12:14" x14ac:dyDescent="0.3">
      <c r="L224">
        <v>212</v>
      </c>
      <c r="M224">
        <v>0</v>
      </c>
      <c r="N224">
        <v>0.73099740307989247</v>
      </c>
    </row>
    <row r="225" spans="12:14" x14ac:dyDescent="0.3">
      <c r="L225">
        <v>213</v>
      </c>
      <c r="M225">
        <v>1</v>
      </c>
      <c r="N225">
        <v>0.63219772306900701</v>
      </c>
    </row>
    <row r="226" spans="12:14" x14ac:dyDescent="0.3">
      <c r="L226">
        <v>214</v>
      </c>
      <c r="M226">
        <v>1</v>
      </c>
      <c r="N226">
        <v>0.85589945436733239</v>
      </c>
    </row>
    <row r="227" spans="12:14" x14ac:dyDescent="0.3">
      <c r="L227">
        <v>215</v>
      </c>
      <c r="M227">
        <v>0</v>
      </c>
      <c r="N227">
        <v>0.66999679909646481</v>
      </c>
    </row>
    <row r="228" spans="12:14" x14ac:dyDescent="0.3">
      <c r="L228">
        <v>216</v>
      </c>
      <c r="M228">
        <v>0</v>
      </c>
      <c r="N228">
        <v>0.91171973198446821</v>
      </c>
    </row>
    <row r="229" spans="12:14" x14ac:dyDescent="0.3">
      <c r="L229">
        <v>217</v>
      </c>
      <c r="M229">
        <v>1</v>
      </c>
      <c r="N229">
        <v>0.6640867421326172</v>
      </c>
    </row>
    <row r="230" spans="12:14" x14ac:dyDescent="0.3">
      <c r="L230">
        <v>218</v>
      </c>
      <c r="M230">
        <v>1</v>
      </c>
      <c r="N230">
        <v>0.61818715244809341</v>
      </c>
    </row>
    <row r="231" spans="12:14" x14ac:dyDescent="0.3">
      <c r="L231">
        <v>219</v>
      </c>
      <c r="M231">
        <v>1</v>
      </c>
      <c r="N231">
        <v>0.84734056142586611</v>
      </c>
    </row>
    <row r="232" spans="12:14" x14ac:dyDescent="0.3">
      <c r="L232">
        <v>220</v>
      </c>
      <c r="M232">
        <v>1</v>
      </c>
      <c r="N232">
        <v>0.57684809384449154</v>
      </c>
    </row>
    <row r="233" spans="12:14" x14ac:dyDescent="0.3">
      <c r="L233">
        <v>221</v>
      </c>
      <c r="M233">
        <v>1</v>
      </c>
      <c r="N233">
        <v>0.57888814856734105</v>
      </c>
    </row>
    <row r="234" spans="12:14" x14ac:dyDescent="0.3">
      <c r="L234">
        <v>222</v>
      </c>
      <c r="M234">
        <v>1</v>
      </c>
      <c r="N234">
        <v>0.63659895363044261</v>
      </c>
    </row>
    <row r="235" spans="12:14" x14ac:dyDescent="0.3">
      <c r="L235">
        <v>223</v>
      </c>
      <c r="M235">
        <v>1</v>
      </c>
      <c r="N235">
        <v>0.29908695520449458</v>
      </c>
    </row>
    <row r="236" spans="12:14" x14ac:dyDescent="0.3">
      <c r="L236">
        <v>224</v>
      </c>
      <c r="M236">
        <v>1</v>
      </c>
      <c r="N236">
        <v>0.54646803090219542</v>
      </c>
    </row>
    <row r="237" spans="12:14" x14ac:dyDescent="0.3">
      <c r="L237">
        <v>225</v>
      </c>
      <c r="M237">
        <v>1</v>
      </c>
      <c r="N237">
        <v>0.33014804362672889</v>
      </c>
    </row>
    <row r="238" spans="12:14" x14ac:dyDescent="0.3">
      <c r="L238">
        <v>226</v>
      </c>
      <c r="M238">
        <v>1</v>
      </c>
      <c r="N238">
        <v>0.79358722061521747</v>
      </c>
    </row>
    <row r="239" spans="12:14" x14ac:dyDescent="0.3">
      <c r="L239">
        <v>227</v>
      </c>
      <c r="M239">
        <v>1</v>
      </c>
      <c r="N239">
        <v>0.84434209256930226</v>
      </c>
    </row>
    <row r="240" spans="12:14" x14ac:dyDescent="0.3">
      <c r="L240">
        <v>228</v>
      </c>
      <c r="M240">
        <v>1</v>
      </c>
      <c r="N240">
        <v>0.86025923712154773</v>
      </c>
    </row>
    <row r="241" spans="12:14" x14ac:dyDescent="0.3">
      <c r="L241">
        <v>229</v>
      </c>
      <c r="M241">
        <v>1</v>
      </c>
      <c r="N241">
        <v>0.53407687565021811</v>
      </c>
    </row>
    <row r="242" spans="12:14" x14ac:dyDescent="0.3">
      <c r="L242">
        <v>230</v>
      </c>
      <c r="M242">
        <v>1</v>
      </c>
      <c r="N242">
        <v>0.37093180817084481</v>
      </c>
    </row>
    <row r="243" spans="12:14" x14ac:dyDescent="0.3">
      <c r="L243">
        <v>231</v>
      </c>
      <c r="M243">
        <v>1</v>
      </c>
      <c r="N243">
        <v>0.72652665774194136</v>
      </c>
    </row>
    <row r="244" spans="12:14" x14ac:dyDescent="0.3">
      <c r="L244">
        <v>232</v>
      </c>
      <c r="M244">
        <v>0</v>
      </c>
      <c r="N244">
        <v>0.94719722309161158</v>
      </c>
    </row>
    <row r="245" spans="12:14" x14ac:dyDescent="0.3">
      <c r="L245">
        <v>233</v>
      </c>
      <c r="M245">
        <v>1</v>
      </c>
      <c r="N245">
        <v>0.61152257030343193</v>
      </c>
    </row>
    <row r="246" spans="12:14" x14ac:dyDescent="0.3">
      <c r="L246">
        <v>234</v>
      </c>
      <c r="M246">
        <v>1</v>
      </c>
      <c r="N246">
        <v>0.45674991288292088</v>
      </c>
    </row>
    <row r="247" spans="12:14" x14ac:dyDescent="0.3">
      <c r="L247">
        <v>235</v>
      </c>
      <c r="M247">
        <v>1</v>
      </c>
      <c r="N247">
        <v>0.82780277305712346</v>
      </c>
    </row>
    <row r="248" spans="12:14" x14ac:dyDescent="0.3">
      <c r="L248">
        <v>236</v>
      </c>
      <c r="M248">
        <v>0</v>
      </c>
      <c r="N248">
        <v>0.50709856554207833</v>
      </c>
    </row>
    <row r="249" spans="12:14" x14ac:dyDescent="0.3">
      <c r="L249">
        <v>237</v>
      </c>
      <c r="M249">
        <v>1</v>
      </c>
      <c r="N249">
        <v>0.50840870463458043</v>
      </c>
    </row>
    <row r="250" spans="12:14" x14ac:dyDescent="0.3">
      <c r="L250">
        <v>238</v>
      </c>
      <c r="M250">
        <v>1</v>
      </c>
      <c r="N250">
        <v>0.7443306273532545</v>
      </c>
    </row>
    <row r="251" spans="12:14" x14ac:dyDescent="0.3">
      <c r="L251">
        <v>239</v>
      </c>
      <c r="M251">
        <v>1</v>
      </c>
      <c r="N251">
        <v>0.74611129369675966</v>
      </c>
    </row>
    <row r="252" spans="12:14" x14ac:dyDescent="0.3">
      <c r="L252">
        <v>240</v>
      </c>
      <c r="M252">
        <v>1</v>
      </c>
      <c r="N252">
        <v>0.88931683144581353</v>
      </c>
    </row>
    <row r="253" spans="12:14" x14ac:dyDescent="0.3">
      <c r="L253">
        <v>241</v>
      </c>
      <c r="M253">
        <v>0</v>
      </c>
      <c r="N253">
        <v>0.76900639647060753</v>
      </c>
    </row>
    <row r="254" spans="12:14" x14ac:dyDescent="0.3">
      <c r="L254">
        <v>242</v>
      </c>
      <c r="M254">
        <v>1</v>
      </c>
      <c r="N254">
        <v>0.81708715346151184</v>
      </c>
    </row>
    <row r="255" spans="12:14" x14ac:dyDescent="0.3">
      <c r="L255">
        <v>243</v>
      </c>
      <c r="M255">
        <v>1</v>
      </c>
      <c r="N255">
        <v>0.57326461272020923</v>
      </c>
    </row>
    <row r="256" spans="12:14" x14ac:dyDescent="0.3">
      <c r="L256">
        <v>244</v>
      </c>
      <c r="M256">
        <v>1</v>
      </c>
      <c r="N256">
        <v>0.77620323869651453</v>
      </c>
    </row>
    <row r="257" spans="12:14" x14ac:dyDescent="0.3">
      <c r="L257">
        <v>245</v>
      </c>
      <c r="M257">
        <v>1</v>
      </c>
      <c r="N257">
        <v>0.73413418774866046</v>
      </c>
    </row>
    <row r="258" spans="12:14" x14ac:dyDescent="0.3">
      <c r="L258">
        <v>246</v>
      </c>
      <c r="M258">
        <v>1</v>
      </c>
      <c r="N258">
        <v>0.88318643719825085</v>
      </c>
    </row>
    <row r="259" spans="12:14" x14ac:dyDescent="0.3">
      <c r="L259">
        <v>247</v>
      </c>
      <c r="M259">
        <v>1</v>
      </c>
      <c r="N259">
        <v>0.41192852074177394</v>
      </c>
    </row>
    <row r="260" spans="12:14" x14ac:dyDescent="0.3">
      <c r="L260">
        <v>248</v>
      </c>
      <c r="M260">
        <v>1</v>
      </c>
      <c r="N260">
        <v>0.68530052094017813</v>
      </c>
    </row>
    <row r="261" spans="12:14" x14ac:dyDescent="0.3">
      <c r="L261">
        <v>249</v>
      </c>
      <c r="M261">
        <v>0</v>
      </c>
      <c r="N261">
        <v>0.79495319877151582</v>
      </c>
    </row>
    <row r="262" spans="12:14" x14ac:dyDescent="0.3">
      <c r="L262">
        <v>250</v>
      </c>
      <c r="M262">
        <v>0</v>
      </c>
      <c r="N262">
        <v>0.89892085114950659</v>
      </c>
    </row>
    <row r="263" spans="12:14" x14ac:dyDescent="0.3">
      <c r="L263">
        <v>251</v>
      </c>
      <c r="M263">
        <v>1</v>
      </c>
      <c r="N263">
        <v>0.88270697461076675</v>
      </c>
    </row>
    <row r="264" spans="12:14" x14ac:dyDescent="0.3">
      <c r="L264">
        <v>252</v>
      </c>
      <c r="M264">
        <v>1</v>
      </c>
      <c r="N264">
        <v>0.29067629270196871</v>
      </c>
    </row>
    <row r="265" spans="12:14" x14ac:dyDescent="0.3">
      <c r="L265">
        <v>253</v>
      </c>
      <c r="M265">
        <v>1</v>
      </c>
      <c r="N265">
        <v>0.79732587777670105</v>
      </c>
    </row>
    <row r="266" spans="12:14" x14ac:dyDescent="0.3">
      <c r="L266">
        <v>254</v>
      </c>
      <c r="M266">
        <v>1</v>
      </c>
      <c r="N266">
        <v>0.35128033024657462</v>
      </c>
    </row>
    <row r="267" spans="12:14" x14ac:dyDescent="0.3">
      <c r="L267">
        <v>255</v>
      </c>
      <c r="M267">
        <v>1</v>
      </c>
      <c r="N267">
        <v>0.71696311562593906</v>
      </c>
    </row>
    <row r="268" spans="12:14" x14ac:dyDescent="0.3">
      <c r="L268">
        <v>256</v>
      </c>
      <c r="M268">
        <v>1</v>
      </c>
      <c r="N268">
        <v>0.69937887609826577</v>
      </c>
    </row>
    <row r="269" spans="12:14" x14ac:dyDescent="0.3">
      <c r="L269">
        <v>257</v>
      </c>
      <c r="M269">
        <v>0</v>
      </c>
      <c r="N269">
        <v>0.64092606598482649</v>
      </c>
    </row>
    <row r="270" spans="12:14" x14ac:dyDescent="0.3">
      <c r="L270">
        <v>258</v>
      </c>
      <c r="M270">
        <v>1</v>
      </c>
      <c r="N270">
        <v>0.79955332916155619</v>
      </c>
    </row>
    <row r="271" spans="12:14" x14ac:dyDescent="0.3">
      <c r="L271">
        <v>259</v>
      </c>
      <c r="M271">
        <v>1</v>
      </c>
      <c r="N271">
        <v>0.69604027602428453</v>
      </c>
    </row>
    <row r="272" spans="12:14" x14ac:dyDescent="0.3">
      <c r="L272">
        <v>260</v>
      </c>
      <c r="M272">
        <v>0</v>
      </c>
      <c r="N272">
        <v>0.70849614805229089</v>
      </c>
    </row>
    <row r="273" spans="12:14" x14ac:dyDescent="0.3">
      <c r="L273">
        <v>261</v>
      </c>
      <c r="M273">
        <v>1</v>
      </c>
      <c r="N273">
        <v>0.35465791568817184</v>
      </c>
    </row>
    <row r="274" spans="12:14" x14ac:dyDescent="0.3">
      <c r="L274">
        <v>262</v>
      </c>
      <c r="M274">
        <v>0</v>
      </c>
      <c r="N274">
        <v>0.99039199999643279</v>
      </c>
    </row>
    <row r="275" spans="12:14" x14ac:dyDescent="0.3">
      <c r="L275">
        <v>263</v>
      </c>
      <c r="M275">
        <v>1</v>
      </c>
      <c r="N275">
        <v>0.56542878475398517</v>
      </c>
    </row>
    <row r="276" spans="12:14" x14ac:dyDescent="0.3">
      <c r="L276">
        <v>264</v>
      </c>
      <c r="M276">
        <v>1</v>
      </c>
      <c r="N276">
        <v>0.53816831854850888</v>
      </c>
    </row>
    <row r="277" spans="12:14" x14ac:dyDescent="0.3">
      <c r="L277">
        <v>265</v>
      </c>
      <c r="M277">
        <v>0</v>
      </c>
      <c r="N277">
        <v>0.54488578064825544</v>
      </c>
    </row>
    <row r="278" spans="12:14" x14ac:dyDescent="0.3">
      <c r="L278">
        <v>266</v>
      </c>
      <c r="M278">
        <v>1</v>
      </c>
      <c r="N278">
        <v>0.9149521484362434</v>
      </c>
    </row>
    <row r="279" spans="12:14" x14ac:dyDescent="0.3">
      <c r="L279">
        <v>267</v>
      </c>
      <c r="M279">
        <v>1</v>
      </c>
      <c r="N279">
        <v>0.6959871526240835</v>
      </c>
    </row>
    <row r="280" spans="12:14" x14ac:dyDescent="0.3">
      <c r="L280">
        <v>268</v>
      </c>
      <c r="M280">
        <v>1</v>
      </c>
      <c r="N280">
        <v>0.8276034513676116</v>
      </c>
    </row>
    <row r="281" spans="12:14" x14ac:dyDescent="0.3">
      <c r="L281">
        <v>269</v>
      </c>
      <c r="M281">
        <v>0</v>
      </c>
      <c r="N281">
        <v>0.83096685732376641</v>
      </c>
    </row>
    <row r="282" spans="12:14" x14ac:dyDescent="0.3">
      <c r="L282">
        <v>270</v>
      </c>
      <c r="M282">
        <v>1</v>
      </c>
      <c r="N282">
        <v>0.12583931876737908</v>
      </c>
    </row>
    <row r="283" spans="12:14" x14ac:dyDescent="0.3">
      <c r="L283">
        <v>271</v>
      </c>
      <c r="M283">
        <v>1</v>
      </c>
      <c r="N283">
        <v>0.75629687523656219</v>
      </c>
    </row>
    <row r="284" spans="12:14" x14ac:dyDescent="0.3">
      <c r="L284">
        <v>272</v>
      </c>
      <c r="M284">
        <v>0</v>
      </c>
      <c r="N284">
        <v>0.92739424505291523</v>
      </c>
    </row>
    <row r="285" spans="12:14" x14ac:dyDescent="0.3">
      <c r="L285">
        <v>273</v>
      </c>
      <c r="M285">
        <v>1</v>
      </c>
      <c r="N285">
        <v>0.43154753701167115</v>
      </c>
    </row>
    <row r="286" spans="12:14" x14ac:dyDescent="0.3">
      <c r="L286">
        <v>274</v>
      </c>
      <c r="M286">
        <v>1</v>
      </c>
      <c r="N286">
        <v>0.77203631300992503</v>
      </c>
    </row>
    <row r="287" spans="12:14" x14ac:dyDescent="0.3">
      <c r="L287">
        <v>275</v>
      </c>
      <c r="M287">
        <v>1</v>
      </c>
      <c r="N287">
        <v>0.75911943413430871</v>
      </c>
    </row>
    <row r="288" spans="12:14" x14ac:dyDescent="0.3">
      <c r="L288">
        <v>276</v>
      </c>
      <c r="M288">
        <v>1</v>
      </c>
      <c r="N288">
        <v>0.89031147525808219</v>
      </c>
    </row>
    <row r="289" spans="12:14" x14ac:dyDescent="0.3">
      <c r="L289">
        <v>277</v>
      </c>
      <c r="M289">
        <v>1</v>
      </c>
      <c r="N289">
        <v>0.29530385354207594</v>
      </c>
    </row>
    <row r="290" spans="12:14" x14ac:dyDescent="0.3">
      <c r="L290">
        <v>278</v>
      </c>
      <c r="M290">
        <v>1</v>
      </c>
      <c r="N290">
        <v>0.54629788727781659</v>
      </c>
    </row>
    <row r="291" spans="12:14" x14ac:dyDescent="0.3">
      <c r="L291">
        <v>279</v>
      </c>
      <c r="M291">
        <v>1</v>
      </c>
      <c r="N291">
        <v>0.49337489074072227</v>
      </c>
    </row>
    <row r="292" spans="12:14" x14ac:dyDescent="0.3">
      <c r="L292">
        <v>280</v>
      </c>
      <c r="M292">
        <v>1</v>
      </c>
      <c r="N292">
        <v>0.70848411107455478</v>
      </c>
    </row>
    <row r="293" spans="12:14" x14ac:dyDescent="0.3">
      <c r="L293">
        <v>281</v>
      </c>
      <c r="M293">
        <v>1</v>
      </c>
      <c r="N293">
        <v>0.27462184523812838</v>
      </c>
    </row>
    <row r="294" spans="12:14" x14ac:dyDescent="0.3">
      <c r="L294">
        <v>282</v>
      </c>
      <c r="M294">
        <v>0</v>
      </c>
      <c r="N294">
        <v>0.65106728522294344</v>
      </c>
    </row>
    <row r="295" spans="12:14" x14ac:dyDescent="0.3">
      <c r="L295">
        <v>283</v>
      </c>
      <c r="M295">
        <v>1</v>
      </c>
      <c r="N295">
        <v>0.85580681171763173</v>
      </c>
    </row>
    <row r="296" spans="12:14" x14ac:dyDescent="0.3">
      <c r="L296">
        <v>284</v>
      </c>
      <c r="M296">
        <v>0</v>
      </c>
      <c r="N296">
        <v>0.87995913344627996</v>
      </c>
    </row>
    <row r="297" spans="12:14" x14ac:dyDescent="0.3">
      <c r="L297">
        <v>285</v>
      </c>
      <c r="M297">
        <v>0</v>
      </c>
      <c r="N297">
        <v>0.33630999390738975</v>
      </c>
    </row>
    <row r="298" spans="12:14" x14ac:dyDescent="0.3">
      <c r="L298">
        <v>286</v>
      </c>
      <c r="M298">
        <v>1</v>
      </c>
      <c r="N298">
        <v>0.69643691836919419</v>
      </c>
    </row>
    <row r="299" spans="12:14" x14ac:dyDescent="0.3">
      <c r="L299">
        <v>287</v>
      </c>
      <c r="M299">
        <v>1</v>
      </c>
      <c r="N299">
        <v>0.86120461205022725</v>
      </c>
    </row>
    <row r="300" spans="12:14" x14ac:dyDescent="0.3">
      <c r="L300">
        <v>288</v>
      </c>
      <c r="M300">
        <v>0</v>
      </c>
      <c r="N300">
        <v>0.66346001397282706</v>
      </c>
    </row>
    <row r="301" spans="12:14" x14ac:dyDescent="0.3">
      <c r="L301">
        <v>289</v>
      </c>
      <c r="M301">
        <v>1</v>
      </c>
      <c r="N301">
        <v>0.42990122091575478</v>
      </c>
    </row>
    <row r="302" spans="12:14" x14ac:dyDescent="0.3">
      <c r="L302">
        <v>290</v>
      </c>
      <c r="M302">
        <v>1</v>
      </c>
      <c r="N302">
        <v>0.33764450883390729</v>
      </c>
    </row>
    <row r="303" spans="12:14" x14ac:dyDescent="0.3">
      <c r="L303">
        <v>291</v>
      </c>
      <c r="M303">
        <v>1</v>
      </c>
      <c r="N303">
        <v>0.52740813271815079</v>
      </c>
    </row>
    <row r="304" spans="12:14" x14ac:dyDescent="0.3">
      <c r="L304">
        <v>292</v>
      </c>
      <c r="M304">
        <v>0</v>
      </c>
      <c r="N304">
        <v>0.55833272688881042</v>
      </c>
    </row>
    <row r="305" spans="12:14" x14ac:dyDescent="0.3">
      <c r="L305">
        <v>293</v>
      </c>
      <c r="M305">
        <v>1</v>
      </c>
      <c r="N305">
        <v>0.86117779594020405</v>
      </c>
    </row>
    <row r="306" spans="12:14" x14ac:dyDescent="0.3">
      <c r="L306">
        <v>294</v>
      </c>
      <c r="M306">
        <v>1</v>
      </c>
      <c r="N306">
        <v>0.96437446398981463</v>
      </c>
    </row>
    <row r="307" spans="12:14" x14ac:dyDescent="0.3">
      <c r="L307">
        <v>295</v>
      </c>
      <c r="M307">
        <v>1</v>
      </c>
      <c r="N307">
        <v>0.95113184816170648</v>
      </c>
    </row>
    <row r="308" spans="12:14" x14ac:dyDescent="0.3">
      <c r="L308">
        <v>296</v>
      </c>
      <c r="M308">
        <v>0</v>
      </c>
      <c r="N308">
        <v>0.23026784523849908</v>
      </c>
    </row>
    <row r="309" spans="12:14" x14ac:dyDescent="0.3">
      <c r="L309">
        <v>297</v>
      </c>
      <c r="M309">
        <v>0</v>
      </c>
      <c r="N309">
        <v>0.66013214938075004</v>
      </c>
    </row>
    <row r="310" spans="12:14" x14ac:dyDescent="0.3">
      <c r="L310">
        <v>298</v>
      </c>
      <c r="M310">
        <v>1</v>
      </c>
      <c r="N310">
        <v>0.833747638492503</v>
      </c>
    </row>
    <row r="311" spans="12:14" x14ac:dyDescent="0.3">
      <c r="L311">
        <v>299</v>
      </c>
      <c r="M311">
        <v>1</v>
      </c>
      <c r="N311">
        <v>0.25989233365220754</v>
      </c>
    </row>
    <row r="312" spans="12:14" x14ac:dyDescent="0.3">
      <c r="L312">
        <v>300</v>
      </c>
      <c r="M312">
        <v>1</v>
      </c>
      <c r="N312">
        <v>0.16201610003691799</v>
      </c>
    </row>
    <row r="313" spans="12:14" x14ac:dyDescent="0.3">
      <c r="L313">
        <v>301</v>
      </c>
      <c r="M313">
        <v>0</v>
      </c>
      <c r="N313">
        <v>0.66397311837942663</v>
      </c>
    </row>
    <row r="314" spans="12:14" x14ac:dyDescent="0.3">
      <c r="L314">
        <v>302</v>
      </c>
      <c r="M314">
        <v>0</v>
      </c>
      <c r="N314">
        <v>0.77698248985863594</v>
      </c>
    </row>
    <row r="315" spans="12:14" x14ac:dyDescent="0.3">
      <c r="L315">
        <v>303</v>
      </c>
      <c r="M315">
        <v>1</v>
      </c>
      <c r="N315">
        <v>0.76026843397535671</v>
      </c>
    </row>
    <row r="316" spans="12:14" x14ac:dyDescent="0.3">
      <c r="L316">
        <v>304</v>
      </c>
      <c r="M316">
        <v>0</v>
      </c>
      <c r="N316">
        <v>0.61923678071690047</v>
      </c>
    </row>
    <row r="317" spans="12:14" x14ac:dyDescent="0.3">
      <c r="L317">
        <v>305</v>
      </c>
      <c r="M317">
        <v>0</v>
      </c>
      <c r="N317">
        <v>0.79019245845992736</v>
      </c>
    </row>
    <row r="318" spans="12:14" x14ac:dyDescent="0.3">
      <c r="L318">
        <v>306</v>
      </c>
      <c r="M318">
        <v>1</v>
      </c>
      <c r="N318">
        <v>0.86483567777269776</v>
      </c>
    </row>
    <row r="319" spans="12:14" x14ac:dyDescent="0.3">
      <c r="L319">
        <v>307</v>
      </c>
      <c r="M319">
        <v>1</v>
      </c>
      <c r="N319">
        <v>0.16436403448902109</v>
      </c>
    </row>
    <row r="320" spans="12:14" x14ac:dyDescent="0.3">
      <c r="L320">
        <v>308</v>
      </c>
      <c r="M320">
        <v>1</v>
      </c>
      <c r="N320">
        <v>0.92554199815066163</v>
      </c>
    </row>
    <row r="321" spans="12:14" x14ac:dyDescent="0.3">
      <c r="L321">
        <v>309</v>
      </c>
      <c r="M321">
        <v>0</v>
      </c>
      <c r="N321">
        <v>0.30820493688372397</v>
      </c>
    </row>
    <row r="322" spans="12:14" x14ac:dyDescent="0.3">
      <c r="L322">
        <v>310</v>
      </c>
      <c r="M322">
        <v>0</v>
      </c>
      <c r="N322">
        <v>0.5342090397527739</v>
      </c>
    </row>
    <row r="323" spans="12:14" x14ac:dyDescent="0.3">
      <c r="L323">
        <v>311</v>
      </c>
      <c r="M323">
        <v>1</v>
      </c>
      <c r="N323">
        <v>0.72109669158553491</v>
      </c>
    </row>
    <row r="324" spans="12:14" x14ac:dyDescent="0.3">
      <c r="L324">
        <v>312</v>
      </c>
      <c r="M324">
        <v>1</v>
      </c>
      <c r="N324">
        <v>0.59120880088438432</v>
      </c>
    </row>
    <row r="325" spans="12:14" x14ac:dyDescent="0.3">
      <c r="L325">
        <v>313</v>
      </c>
      <c r="M325">
        <v>1</v>
      </c>
      <c r="N325">
        <v>0.32464520533602836</v>
      </c>
    </row>
    <row r="326" spans="12:14" x14ac:dyDescent="0.3">
      <c r="L326">
        <v>314</v>
      </c>
      <c r="M326">
        <v>1</v>
      </c>
      <c r="N326">
        <v>0.74285603065213524</v>
      </c>
    </row>
    <row r="327" spans="12:14" x14ac:dyDescent="0.3">
      <c r="L327">
        <v>315</v>
      </c>
      <c r="M327">
        <v>0</v>
      </c>
      <c r="N327">
        <v>0.70621131731344733</v>
      </c>
    </row>
    <row r="328" spans="12:14" x14ac:dyDescent="0.3">
      <c r="L328">
        <v>316</v>
      </c>
      <c r="M328">
        <v>0</v>
      </c>
      <c r="N328">
        <v>0.33846274528302478</v>
      </c>
    </row>
    <row r="329" spans="12:14" x14ac:dyDescent="0.3">
      <c r="L329">
        <v>317</v>
      </c>
      <c r="M329">
        <v>1</v>
      </c>
      <c r="N329">
        <v>0.91444836761214254</v>
      </c>
    </row>
    <row r="330" spans="12:14" x14ac:dyDescent="0.3">
      <c r="L330">
        <v>318</v>
      </c>
      <c r="M330">
        <v>1</v>
      </c>
      <c r="N330">
        <v>0.5141710982554405</v>
      </c>
    </row>
    <row r="331" spans="12:14" x14ac:dyDescent="0.3">
      <c r="L331">
        <v>319</v>
      </c>
      <c r="M331">
        <v>1</v>
      </c>
      <c r="N331">
        <v>0.40127896071021901</v>
      </c>
    </row>
    <row r="332" spans="12:14" x14ac:dyDescent="0.3">
      <c r="L332">
        <v>320</v>
      </c>
      <c r="M332">
        <v>1</v>
      </c>
      <c r="N332">
        <v>0.38271966527257356</v>
      </c>
    </row>
    <row r="333" spans="12:14" x14ac:dyDescent="0.3">
      <c r="L333">
        <v>321</v>
      </c>
      <c r="M333">
        <v>1</v>
      </c>
      <c r="N333">
        <v>0.68715950032054984</v>
      </c>
    </row>
    <row r="334" spans="12:14" x14ac:dyDescent="0.3">
      <c r="L334">
        <v>322</v>
      </c>
      <c r="M334">
        <v>0</v>
      </c>
      <c r="N334">
        <v>0.64357656267825303</v>
      </c>
    </row>
    <row r="335" spans="12:14" x14ac:dyDescent="0.3">
      <c r="L335">
        <v>323</v>
      </c>
      <c r="M335">
        <v>1</v>
      </c>
      <c r="N335">
        <v>0.61273459576424782</v>
      </c>
    </row>
    <row r="336" spans="12:14" x14ac:dyDescent="0.3">
      <c r="L336">
        <v>324</v>
      </c>
      <c r="M336">
        <v>1</v>
      </c>
      <c r="N336">
        <v>0.89518180759489607</v>
      </c>
    </row>
    <row r="337" spans="12:14" x14ac:dyDescent="0.3">
      <c r="L337">
        <v>325</v>
      </c>
      <c r="M337">
        <v>1</v>
      </c>
      <c r="N337">
        <v>0.82755257446984842</v>
      </c>
    </row>
    <row r="338" spans="12:14" x14ac:dyDescent="0.3">
      <c r="L338">
        <v>326</v>
      </c>
      <c r="M338">
        <v>1</v>
      </c>
      <c r="N338">
        <v>0.96122390820487658</v>
      </c>
    </row>
    <row r="339" spans="12:14" x14ac:dyDescent="0.3">
      <c r="L339">
        <v>327</v>
      </c>
      <c r="M339">
        <v>1</v>
      </c>
      <c r="N339">
        <v>0.43141053744431701</v>
      </c>
    </row>
    <row r="340" spans="12:14" x14ac:dyDescent="0.3">
      <c r="L340">
        <v>328</v>
      </c>
      <c r="M340">
        <v>0</v>
      </c>
      <c r="N340">
        <v>0.6155809094821415</v>
      </c>
    </row>
    <row r="341" spans="12:14" x14ac:dyDescent="0.3">
      <c r="L341">
        <v>329</v>
      </c>
      <c r="M341">
        <v>1</v>
      </c>
      <c r="N341">
        <v>0.82920009757127999</v>
      </c>
    </row>
    <row r="342" spans="12:14" x14ac:dyDescent="0.3">
      <c r="L342">
        <v>330</v>
      </c>
      <c r="M342">
        <v>1</v>
      </c>
      <c r="N342">
        <v>0.94568933912099107</v>
      </c>
    </row>
    <row r="343" spans="12:14" x14ac:dyDescent="0.3">
      <c r="L343">
        <v>331</v>
      </c>
      <c r="M343">
        <v>1</v>
      </c>
      <c r="N343">
        <v>0.71089052446775047</v>
      </c>
    </row>
    <row r="344" spans="12:14" x14ac:dyDescent="0.3">
      <c r="L344">
        <v>332</v>
      </c>
      <c r="M344">
        <v>1</v>
      </c>
      <c r="N344">
        <v>0.95303586438834886</v>
      </c>
    </row>
    <row r="345" spans="12:14" x14ac:dyDescent="0.3">
      <c r="L345">
        <v>333</v>
      </c>
      <c r="M345">
        <v>1</v>
      </c>
      <c r="N345">
        <v>0.90386656454832193</v>
      </c>
    </row>
    <row r="346" spans="12:14" x14ac:dyDescent="0.3">
      <c r="L346">
        <v>334</v>
      </c>
      <c r="M346">
        <v>1</v>
      </c>
      <c r="N346">
        <v>0.52850263276073284</v>
      </c>
    </row>
    <row r="347" spans="12:14" x14ac:dyDescent="0.3">
      <c r="L347">
        <v>335</v>
      </c>
      <c r="M347">
        <v>1</v>
      </c>
      <c r="N347">
        <v>0.60192628695035288</v>
      </c>
    </row>
    <row r="348" spans="12:14" x14ac:dyDescent="0.3">
      <c r="L348">
        <v>336</v>
      </c>
      <c r="M348">
        <v>1</v>
      </c>
      <c r="N348">
        <v>0.92961959546066153</v>
      </c>
    </row>
    <row r="349" spans="12:14" x14ac:dyDescent="0.3">
      <c r="L349">
        <v>337</v>
      </c>
      <c r="M349">
        <v>1</v>
      </c>
      <c r="N349">
        <v>0.21196985261247792</v>
      </c>
    </row>
    <row r="350" spans="12:14" x14ac:dyDescent="0.3">
      <c r="L350">
        <v>338</v>
      </c>
      <c r="M350">
        <v>1</v>
      </c>
      <c r="N350">
        <v>0.84599579661730551</v>
      </c>
    </row>
    <row r="351" spans="12:14" x14ac:dyDescent="0.3">
      <c r="L351">
        <v>339</v>
      </c>
      <c r="M351">
        <v>0</v>
      </c>
      <c r="N351">
        <v>0.5548887315414176</v>
      </c>
    </row>
    <row r="352" spans="12:14" x14ac:dyDescent="0.3">
      <c r="L352">
        <v>340</v>
      </c>
      <c r="M352">
        <v>0</v>
      </c>
      <c r="N352">
        <v>0.73493909259378032</v>
      </c>
    </row>
    <row r="353" spans="12:14" x14ac:dyDescent="0.3">
      <c r="L353">
        <v>341</v>
      </c>
      <c r="M353">
        <v>1</v>
      </c>
      <c r="N353">
        <v>0.75449418344814867</v>
      </c>
    </row>
    <row r="354" spans="12:14" x14ac:dyDescent="0.3">
      <c r="L354">
        <v>342</v>
      </c>
      <c r="M354">
        <v>1</v>
      </c>
      <c r="N354">
        <v>0.38599226598282632</v>
      </c>
    </row>
    <row r="355" spans="12:14" x14ac:dyDescent="0.3">
      <c r="L355">
        <v>343</v>
      </c>
      <c r="M355">
        <v>0</v>
      </c>
      <c r="N355">
        <v>0.55670431122393449</v>
      </c>
    </row>
    <row r="356" spans="12:14" x14ac:dyDescent="0.3">
      <c r="L356">
        <v>344</v>
      </c>
      <c r="M356">
        <v>0</v>
      </c>
      <c r="N356">
        <v>0.74084859802224423</v>
      </c>
    </row>
    <row r="357" spans="12:14" x14ac:dyDescent="0.3">
      <c r="L357">
        <v>345</v>
      </c>
      <c r="M357">
        <v>1</v>
      </c>
      <c r="N357">
        <v>0.87560026198199381</v>
      </c>
    </row>
    <row r="358" spans="12:14" x14ac:dyDescent="0.3">
      <c r="L358">
        <v>346</v>
      </c>
      <c r="M358">
        <v>0</v>
      </c>
      <c r="N358">
        <v>0.90305946445040719</v>
      </c>
    </row>
    <row r="359" spans="12:14" x14ac:dyDescent="0.3">
      <c r="L359">
        <v>347</v>
      </c>
      <c r="M359">
        <v>1</v>
      </c>
      <c r="N359">
        <v>0.7803959878110176</v>
      </c>
    </row>
    <row r="360" spans="12:14" x14ac:dyDescent="0.3">
      <c r="L360">
        <v>348</v>
      </c>
      <c r="M360">
        <v>0</v>
      </c>
      <c r="N360">
        <v>0.47270022599529155</v>
      </c>
    </row>
    <row r="361" spans="12:14" x14ac:dyDescent="0.3">
      <c r="L361">
        <v>349</v>
      </c>
      <c r="M361">
        <v>0</v>
      </c>
      <c r="N361">
        <v>0.94783090371885093</v>
      </c>
    </row>
    <row r="362" spans="12:14" x14ac:dyDescent="0.3">
      <c r="L362">
        <v>350</v>
      </c>
      <c r="M362">
        <v>0</v>
      </c>
      <c r="N362">
        <v>0.93457551649781234</v>
      </c>
    </row>
    <row r="363" spans="12:14" x14ac:dyDescent="0.3">
      <c r="L363">
        <v>351</v>
      </c>
      <c r="M363">
        <v>1</v>
      </c>
      <c r="N363">
        <v>0.78001822134718035</v>
      </c>
    </row>
    <row r="364" spans="12:14" x14ac:dyDescent="0.3">
      <c r="L364">
        <v>352</v>
      </c>
      <c r="M364">
        <v>1</v>
      </c>
      <c r="N364">
        <v>0.55455214079139492</v>
      </c>
    </row>
    <row r="365" spans="12:14" x14ac:dyDescent="0.3">
      <c r="L365">
        <v>353</v>
      </c>
      <c r="M365">
        <v>1</v>
      </c>
      <c r="N365">
        <v>0.66642887487898239</v>
      </c>
    </row>
    <row r="366" spans="12:14" x14ac:dyDescent="0.3">
      <c r="L366">
        <v>354</v>
      </c>
      <c r="M366">
        <v>1</v>
      </c>
      <c r="N366">
        <v>0.96577866912763255</v>
      </c>
    </row>
    <row r="367" spans="12:14" x14ac:dyDescent="0.3">
      <c r="L367">
        <v>355</v>
      </c>
      <c r="M367">
        <v>0</v>
      </c>
      <c r="N367">
        <v>0.86174047216497751</v>
      </c>
    </row>
    <row r="368" spans="12:14" x14ac:dyDescent="0.3">
      <c r="L368">
        <v>356</v>
      </c>
      <c r="M368">
        <v>1</v>
      </c>
      <c r="N368">
        <v>0.13560732848570461</v>
      </c>
    </row>
    <row r="369" spans="12:14" x14ac:dyDescent="0.3">
      <c r="L369">
        <v>357</v>
      </c>
      <c r="M369">
        <v>1</v>
      </c>
      <c r="N369">
        <v>0.80134401321116289</v>
      </c>
    </row>
    <row r="370" spans="12:14" x14ac:dyDescent="0.3">
      <c r="L370">
        <v>358</v>
      </c>
      <c r="M370">
        <v>1</v>
      </c>
      <c r="N370">
        <v>0.65929387174194476</v>
      </c>
    </row>
    <row r="371" spans="12:14" x14ac:dyDescent="0.3">
      <c r="L371">
        <v>359</v>
      </c>
      <c r="M371">
        <v>0</v>
      </c>
      <c r="N371">
        <v>0.51572030447632744</v>
      </c>
    </row>
    <row r="372" spans="12:14" x14ac:dyDescent="0.3">
      <c r="L372">
        <v>360</v>
      </c>
      <c r="M372">
        <v>0</v>
      </c>
      <c r="N372">
        <v>0.59027223310982635</v>
      </c>
    </row>
    <row r="373" spans="12:14" x14ac:dyDescent="0.3">
      <c r="L373">
        <v>361</v>
      </c>
      <c r="M373">
        <v>1</v>
      </c>
      <c r="N373">
        <v>0.71407859380553651</v>
      </c>
    </row>
    <row r="374" spans="12:14" x14ac:dyDescent="0.3">
      <c r="L374">
        <v>362</v>
      </c>
      <c r="M374">
        <v>1</v>
      </c>
      <c r="N374">
        <v>0.56815832925023146</v>
      </c>
    </row>
    <row r="375" spans="12:14" x14ac:dyDescent="0.3">
      <c r="L375">
        <v>363</v>
      </c>
      <c r="M375">
        <v>0</v>
      </c>
      <c r="N375">
        <v>0.74884045771916541</v>
      </c>
    </row>
    <row r="376" spans="12:14" x14ac:dyDescent="0.3">
      <c r="L376">
        <v>364</v>
      </c>
      <c r="M376">
        <v>1</v>
      </c>
      <c r="N376">
        <v>0.63541848504685527</v>
      </c>
    </row>
    <row r="377" spans="12:14" x14ac:dyDescent="0.3">
      <c r="L377">
        <v>365</v>
      </c>
      <c r="M377">
        <v>1</v>
      </c>
      <c r="N377">
        <v>0.63424936903564322</v>
      </c>
    </row>
    <row r="378" spans="12:14" x14ac:dyDescent="0.3">
      <c r="L378">
        <v>366</v>
      </c>
      <c r="M378">
        <v>0</v>
      </c>
      <c r="N378">
        <v>0.69042370886642512</v>
      </c>
    </row>
    <row r="379" spans="12:14" x14ac:dyDescent="0.3">
      <c r="L379">
        <v>367</v>
      </c>
      <c r="M379">
        <v>1</v>
      </c>
      <c r="N379">
        <v>0.92238899702609123</v>
      </c>
    </row>
    <row r="380" spans="12:14" x14ac:dyDescent="0.3">
      <c r="L380">
        <v>368</v>
      </c>
      <c r="M380">
        <v>1</v>
      </c>
      <c r="N380">
        <v>0.48272226853188072</v>
      </c>
    </row>
    <row r="381" spans="12:14" x14ac:dyDescent="0.3">
      <c r="L381">
        <v>369</v>
      </c>
      <c r="M381">
        <v>0</v>
      </c>
      <c r="N381">
        <v>0.58694387771817536</v>
      </c>
    </row>
    <row r="382" spans="12:14" x14ac:dyDescent="0.3">
      <c r="L382">
        <v>370</v>
      </c>
      <c r="M382">
        <v>0</v>
      </c>
      <c r="N382">
        <v>0.54577913430395009</v>
      </c>
    </row>
    <row r="383" spans="12:14" x14ac:dyDescent="0.3">
      <c r="L383">
        <v>371</v>
      </c>
      <c r="M383">
        <v>0</v>
      </c>
      <c r="N383">
        <v>0.80273365476082248</v>
      </c>
    </row>
    <row r="384" spans="12:14" x14ac:dyDescent="0.3">
      <c r="L384">
        <v>372</v>
      </c>
      <c r="M384">
        <v>1</v>
      </c>
      <c r="N384">
        <v>0.72061881084988932</v>
      </c>
    </row>
    <row r="385" spans="12:14" x14ac:dyDescent="0.3">
      <c r="L385">
        <v>373</v>
      </c>
      <c r="M385">
        <v>0</v>
      </c>
      <c r="N385">
        <v>0.80641859968869278</v>
      </c>
    </row>
    <row r="386" spans="12:14" x14ac:dyDescent="0.3">
      <c r="L386">
        <v>374</v>
      </c>
      <c r="M386">
        <v>1</v>
      </c>
      <c r="N386">
        <v>0.92094132225798786</v>
      </c>
    </row>
    <row r="387" spans="12:14" x14ac:dyDescent="0.3">
      <c r="L387">
        <v>375</v>
      </c>
      <c r="M387">
        <v>0</v>
      </c>
      <c r="N387">
        <v>0.45164737722358722</v>
      </c>
    </row>
    <row r="388" spans="12:14" x14ac:dyDescent="0.3">
      <c r="L388">
        <v>376</v>
      </c>
      <c r="M388">
        <v>0</v>
      </c>
      <c r="N388">
        <v>0.81627713802511426</v>
      </c>
    </row>
    <row r="389" spans="12:14" x14ac:dyDescent="0.3">
      <c r="L389">
        <v>377</v>
      </c>
      <c r="M389">
        <v>0</v>
      </c>
      <c r="N389">
        <v>0.76166576835894451</v>
      </c>
    </row>
    <row r="390" spans="12:14" x14ac:dyDescent="0.3">
      <c r="L390">
        <v>378</v>
      </c>
      <c r="M390">
        <v>0</v>
      </c>
      <c r="N390">
        <v>0.96548735608145098</v>
      </c>
    </row>
    <row r="391" spans="12:14" x14ac:dyDescent="0.3">
      <c r="L391">
        <v>379</v>
      </c>
      <c r="M391">
        <v>0</v>
      </c>
      <c r="N391">
        <v>0.586221397910904</v>
      </c>
    </row>
    <row r="392" spans="12:14" x14ac:dyDescent="0.3">
      <c r="L392">
        <v>380</v>
      </c>
      <c r="M392">
        <v>1</v>
      </c>
      <c r="N392">
        <v>0.83464202521248854</v>
      </c>
    </row>
    <row r="393" spans="12:14" x14ac:dyDescent="0.3">
      <c r="L393">
        <v>381</v>
      </c>
      <c r="M393">
        <v>0</v>
      </c>
      <c r="N393">
        <v>0.75282436735910618</v>
      </c>
    </row>
    <row r="394" spans="12:14" x14ac:dyDescent="0.3">
      <c r="L394">
        <v>382</v>
      </c>
      <c r="M394">
        <v>1</v>
      </c>
      <c r="N394">
        <v>0.70438742643273267</v>
      </c>
    </row>
    <row r="395" spans="12:14" x14ac:dyDescent="0.3">
      <c r="L395">
        <v>383</v>
      </c>
      <c r="M395">
        <v>1</v>
      </c>
      <c r="N395">
        <v>0.35289165480390655</v>
      </c>
    </row>
    <row r="396" spans="12:14" x14ac:dyDescent="0.3">
      <c r="L396">
        <v>384</v>
      </c>
      <c r="M396">
        <v>1</v>
      </c>
      <c r="N396">
        <v>0.43517341042520852</v>
      </c>
    </row>
    <row r="397" spans="12:14" x14ac:dyDescent="0.3">
      <c r="L397">
        <v>385</v>
      </c>
      <c r="M397">
        <v>1</v>
      </c>
      <c r="N397">
        <v>0.72518712689004128</v>
      </c>
    </row>
    <row r="398" spans="12:14" x14ac:dyDescent="0.3">
      <c r="L398">
        <v>386</v>
      </c>
      <c r="M398">
        <v>1</v>
      </c>
      <c r="N398">
        <v>0.86039464102615382</v>
      </c>
    </row>
    <row r="399" spans="12:14" x14ac:dyDescent="0.3">
      <c r="L399">
        <v>387</v>
      </c>
      <c r="M399">
        <v>0</v>
      </c>
      <c r="N399">
        <v>0.87403192501123894</v>
      </c>
    </row>
    <row r="400" spans="12:14" x14ac:dyDescent="0.3">
      <c r="L400">
        <v>388</v>
      </c>
      <c r="M400">
        <v>1</v>
      </c>
      <c r="N400">
        <v>0.948307439729969</v>
      </c>
    </row>
    <row r="401" spans="12:14" x14ac:dyDescent="0.3">
      <c r="L401">
        <v>389</v>
      </c>
      <c r="M401">
        <v>0</v>
      </c>
      <c r="N401">
        <v>0.45392610717439047</v>
      </c>
    </row>
    <row r="402" spans="12:14" x14ac:dyDescent="0.3">
      <c r="L402">
        <v>390</v>
      </c>
      <c r="M402">
        <v>0</v>
      </c>
      <c r="N402">
        <v>0.97773831883344542</v>
      </c>
    </row>
    <row r="403" spans="12:14" x14ac:dyDescent="0.3">
      <c r="L403">
        <v>391</v>
      </c>
      <c r="M403">
        <v>1</v>
      </c>
      <c r="N403">
        <v>0.72828694451953568</v>
      </c>
    </row>
    <row r="404" spans="12:14" x14ac:dyDescent="0.3">
      <c r="L404">
        <v>392</v>
      </c>
      <c r="M404">
        <v>1</v>
      </c>
      <c r="N404">
        <v>0.37293584506093358</v>
      </c>
    </row>
    <row r="405" spans="12:14" x14ac:dyDescent="0.3">
      <c r="L405">
        <v>393</v>
      </c>
      <c r="M405">
        <v>1</v>
      </c>
      <c r="N405">
        <v>0.86633000821036787</v>
      </c>
    </row>
    <row r="406" spans="12:14" x14ac:dyDescent="0.3">
      <c r="L406">
        <v>394</v>
      </c>
      <c r="M406">
        <v>1</v>
      </c>
      <c r="N406">
        <v>0.66509994587875498</v>
      </c>
    </row>
    <row r="407" spans="12:14" x14ac:dyDescent="0.3">
      <c r="L407">
        <v>395</v>
      </c>
      <c r="M407">
        <v>0</v>
      </c>
      <c r="N407">
        <v>0.71444200854253059</v>
      </c>
    </row>
    <row r="408" spans="12:14" x14ac:dyDescent="0.3">
      <c r="L408">
        <v>396</v>
      </c>
      <c r="M408">
        <v>1</v>
      </c>
      <c r="N408">
        <v>0.76378186945343729</v>
      </c>
    </row>
    <row r="409" spans="12:14" x14ac:dyDescent="0.3">
      <c r="L409">
        <v>397</v>
      </c>
      <c r="M409">
        <v>1</v>
      </c>
      <c r="N409">
        <v>0.6315948283165812</v>
      </c>
    </row>
    <row r="410" spans="12:14" x14ac:dyDescent="0.3">
      <c r="L410">
        <v>398</v>
      </c>
      <c r="M410">
        <v>1</v>
      </c>
      <c r="N410">
        <v>0.76082104141632678</v>
      </c>
    </row>
    <row r="411" spans="12:14" x14ac:dyDescent="0.3">
      <c r="L411">
        <v>399</v>
      </c>
      <c r="M411">
        <v>0</v>
      </c>
      <c r="N411">
        <v>0.7012017925051961</v>
      </c>
    </row>
    <row r="412" spans="12:14" x14ac:dyDescent="0.3">
      <c r="L412">
        <v>400</v>
      </c>
      <c r="M412">
        <v>1</v>
      </c>
      <c r="N412">
        <v>0.73799959822902417</v>
      </c>
    </row>
    <row r="413" spans="12:14" x14ac:dyDescent="0.3">
      <c r="L413">
        <v>401</v>
      </c>
      <c r="M413">
        <v>1</v>
      </c>
      <c r="N413">
        <v>0.45950438525729614</v>
      </c>
    </row>
    <row r="414" spans="12:14" x14ac:dyDescent="0.3">
      <c r="L414">
        <v>402</v>
      </c>
      <c r="M414">
        <v>0</v>
      </c>
      <c r="N414">
        <v>0.71428317714773559</v>
      </c>
    </row>
    <row r="415" spans="12:14" x14ac:dyDescent="0.3">
      <c r="L415">
        <v>403</v>
      </c>
      <c r="M415">
        <v>1</v>
      </c>
      <c r="N415">
        <v>0.41195400354887235</v>
      </c>
    </row>
    <row r="416" spans="12:14" x14ac:dyDescent="0.3">
      <c r="L416">
        <v>404</v>
      </c>
      <c r="M416">
        <v>1</v>
      </c>
      <c r="N416">
        <v>0.92877495364937568</v>
      </c>
    </row>
    <row r="417" spans="12:14" x14ac:dyDescent="0.3">
      <c r="L417">
        <v>405</v>
      </c>
      <c r="M417">
        <v>0</v>
      </c>
      <c r="N417">
        <v>0.42045060332998779</v>
      </c>
    </row>
    <row r="418" spans="12:14" x14ac:dyDescent="0.3">
      <c r="L418">
        <v>406</v>
      </c>
      <c r="M418">
        <v>0</v>
      </c>
      <c r="N418">
        <v>0.60128087492507343</v>
      </c>
    </row>
    <row r="419" spans="12:14" x14ac:dyDescent="0.3">
      <c r="L419">
        <v>407</v>
      </c>
      <c r="M419">
        <v>0</v>
      </c>
      <c r="N419">
        <v>0.92388902179897603</v>
      </c>
    </row>
    <row r="420" spans="12:14" x14ac:dyDescent="0.3">
      <c r="L420">
        <v>408</v>
      </c>
      <c r="M420">
        <v>0</v>
      </c>
      <c r="N420">
        <v>0.45240830989820313</v>
      </c>
    </row>
    <row r="421" spans="12:14" x14ac:dyDescent="0.3">
      <c r="L421">
        <v>409</v>
      </c>
      <c r="M421">
        <v>1</v>
      </c>
      <c r="N421">
        <v>0.69923255114603056</v>
      </c>
    </row>
    <row r="422" spans="12:14" x14ac:dyDescent="0.3">
      <c r="L422">
        <v>410</v>
      </c>
      <c r="M422">
        <v>1</v>
      </c>
      <c r="N422">
        <v>0.76817276571197834</v>
      </c>
    </row>
    <row r="423" spans="12:14" x14ac:dyDescent="0.3">
      <c r="L423">
        <v>411</v>
      </c>
      <c r="M423">
        <v>0</v>
      </c>
      <c r="N423">
        <v>0.82846946366224228</v>
      </c>
    </row>
    <row r="424" spans="12:14" x14ac:dyDescent="0.3">
      <c r="L424">
        <v>412</v>
      </c>
      <c r="M424">
        <v>1</v>
      </c>
      <c r="N424">
        <v>0.35917465195743947</v>
      </c>
    </row>
    <row r="425" spans="12:14" x14ac:dyDescent="0.3">
      <c r="L425">
        <v>413</v>
      </c>
      <c r="M425">
        <v>1</v>
      </c>
      <c r="N425">
        <v>0.94840914621360495</v>
      </c>
    </row>
    <row r="426" spans="12:14" x14ac:dyDescent="0.3">
      <c r="L426">
        <v>414</v>
      </c>
      <c r="M426">
        <v>1</v>
      </c>
      <c r="N426">
        <v>0.48455303833616459</v>
      </c>
    </row>
    <row r="427" spans="12:14" x14ac:dyDescent="0.3">
      <c r="L427">
        <v>415</v>
      </c>
      <c r="M427">
        <v>1</v>
      </c>
      <c r="N427">
        <v>0.92632044264318092</v>
      </c>
    </row>
    <row r="428" spans="12:14" x14ac:dyDescent="0.3">
      <c r="L428">
        <v>416</v>
      </c>
      <c r="M428">
        <v>0</v>
      </c>
      <c r="N428">
        <v>0.49134514829246911</v>
      </c>
    </row>
    <row r="429" spans="12:14" x14ac:dyDescent="0.3">
      <c r="L429">
        <v>417</v>
      </c>
      <c r="M429">
        <v>1</v>
      </c>
      <c r="N429">
        <v>0.68867692704422501</v>
      </c>
    </row>
    <row r="430" spans="12:14" x14ac:dyDescent="0.3">
      <c r="L430">
        <v>418</v>
      </c>
      <c r="M430">
        <v>0</v>
      </c>
      <c r="N430">
        <v>0.59683220921150781</v>
      </c>
    </row>
    <row r="431" spans="12:14" x14ac:dyDescent="0.3">
      <c r="L431">
        <v>419</v>
      </c>
      <c r="M431">
        <v>1</v>
      </c>
      <c r="N431">
        <v>0.72166107160281401</v>
      </c>
    </row>
    <row r="432" spans="12:14" x14ac:dyDescent="0.3">
      <c r="L432">
        <v>420</v>
      </c>
      <c r="M432">
        <v>1</v>
      </c>
      <c r="N432">
        <v>0.97189488393084444</v>
      </c>
    </row>
    <row r="433" spans="12:14" x14ac:dyDescent="0.3">
      <c r="L433">
        <v>421</v>
      </c>
      <c r="M433">
        <v>1</v>
      </c>
      <c r="N433">
        <v>0.33224771804136211</v>
      </c>
    </row>
    <row r="434" spans="12:14" x14ac:dyDescent="0.3">
      <c r="L434">
        <v>422</v>
      </c>
      <c r="M434">
        <v>1</v>
      </c>
      <c r="N434">
        <v>0.7560210863124156</v>
      </c>
    </row>
    <row r="435" spans="12:14" x14ac:dyDescent="0.3">
      <c r="L435">
        <v>423</v>
      </c>
      <c r="M435">
        <v>0</v>
      </c>
      <c r="N435">
        <v>0.54071109272797868</v>
      </c>
    </row>
    <row r="436" spans="12:14" x14ac:dyDescent="0.3">
      <c r="L436">
        <v>424</v>
      </c>
      <c r="M436">
        <v>1</v>
      </c>
      <c r="N436">
        <v>0.89517301327516119</v>
      </c>
    </row>
    <row r="437" spans="12:14" x14ac:dyDescent="0.3">
      <c r="L437">
        <v>425</v>
      </c>
      <c r="M437">
        <v>1</v>
      </c>
      <c r="N437">
        <v>0.55919037597458776</v>
      </c>
    </row>
    <row r="438" spans="12:14" x14ac:dyDescent="0.3">
      <c r="L438">
        <v>426</v>
      </c>
      <c r="M438">
        <v>1</v>
      </c>
      <c r="N438">
        <v>0.8415583813298364</v>
      </c>
    </row>
    <row r="439" spans="12:14" x14ac:dyDescent="0.3">
      <c r="L439">
        <v>427</v>
      </c>
      <c r="M439">
        <v>1</v>
      </c>
      <c r="N439">
        <v>0.7345125958417178</v>
      </c>
    </row>
    <row r="440" spans="12:14" x14ac:dyDescent="0.3">
      <c r="L440">
        <v>428</v>
      </c>
      <c r="M440">
        <v>1</v>
      </c>
      <c r="N440">
        <v>0.85839000894577222</v>
      </c>
    </row>
    <row r="441" spans="12:14" x14ac:dyDescent="0.3">
      <c r="L441">
        <v>429</v>
      </c>
      <c r="M441">
        <v>1</v>
      </c>
      <c r="N441">
        <v>0.86684931513494889</v>
      </c>
    </row>
    <row r="442" spans="12:14" x14ac:dyDescent="0.3">
      <c r="L442">
        <v>430</v>
      </c>
      <c r="M442">
        <v>1</v>
      </c>
      <c r="N442">
        <v>0.88141167984151114</v>
      </c>
    </row>
    <row r="443" spans="12:14" x14ac:dyDescent="0.3">
      <c r="L443">
        <v>431</v>
      </c>
      <c r="M443">
        <v>1</v>
      </c>
      <c r="N443">
        <v>0.25911509019971818</v>
      </c>
    </row>
    <row r="444" spans="12:14" x14ac:dyDescent="0.3">
      <c r="L444">
        <v>432</v>
      </c>
      <c r="M444">
        <v>0</v>
      </c>
      <c r="N444">
        <v>0.73898382854096212</v>
      </c>
    </row>
    <row r="445" spans="12:14" x14ac:dyDescent="0.3">
      <c r="L445">
        <v>433</v>
      </c>
      <c r="M445">
        <v>0</v>
      </c>
      <c r="N445">
        <v>0.61389116982144176</v>
      </c>
    </row>
    <row r="446" spans="12:14" x14ac:dyDescent="0.3">
      <c r="L446">
        <v>434</v>
      </c>
      <c r="M446">
        <v>1</v>
      </c>
      <c r="N446">
        <v>0.65031193674113708</v>
      </c>
    </row>
    <row r="447" spans="12:14" x14ac:dyDescent="0.3">
      <c r="L447">
        <v>435</v>
      </c>
      <c r="M447">
        <v>1</v>
      </c>
      <c r="N447">
        <v>0.97478860044134341</v>
      </c>
    </row>
    <row r="448" spans="12:14" x14ac:dyDescent="0.3">
      <c r="L448">
        <v>436</v>
      </c>
      <c r="M448">
        <v>0</v>
      </c>
      <c r="N448">
        <v>0.40283614372273602</v>
      </c>
    </row>
    <row r="449" spans="12:14" x14ac:dyDescent="0.3">
      <c r="L449">
        <v>437</v>
      </c>
      <c r="M449">
        <v>1</v>
      </c>
      <c r="N449">
        <v>0.84948709984920323</v>
      </c>
    </row>
    <row r="450" spans="12:14" x14ac:dyDescent="0.3">
      <c r="L450">
        <v>438</v>
      </c>
      <c r="M450">
        <v>1</v>
      </c>
      <c r="N450">
        <v>0.38210885969215391</v>
      </c>
    </row>
    <row r="451" spans="12:14" x14ac:dyDescent="0.3">
      <c r="L451">
        <v>439</v>
      </c>
      <c r="M451">
        <v>1</v>
      </c>
      <c r="N451">
        <v>0.51578021370527494</v>
      </c>
    </row>
    <row r="452" spans="12:14" x14ac:dyDescent="0.3">
      <c r="L452">
        <v>440</v>
      </c>
      <c r="M452">
        <v>1</v>
      </c>
      <c r="N452">
        <v>0.41865252182247503</v>
      </c>
    </row>
    <row r="453" spans="12:14" x14ac:dyDescent="0.3">
      <c r="L453">
        <v>441</v>
      </c>
      <c r="M453">
        <v>0</v>
      </c>
      <c r="N453">
        <v>0.54069678438910806</v>
      </c>
    </row>
    <row r="454" spans="12:14" x14ac:dyDescent="0.3">
      <c r="L454">
        <v>442</v>
      </c>
      <c r="M454">
        <v>1</v>
      </c>
      <c r="N454">
        <v>0.77665833510696447</v>
      </c>
    </row>
    <row r="455" spans="12:14" x14ac:dyDescent="0.3">
      <c r="L455">
        <v>443</v>
      </c>
      <c r="M455">
        <v>1</v>
      </c>
      <c r="N455">
        <v>0.86566374312537409</v>
      </c>
    </row>
    <row r="456" spans="12:14" x14ac:dyDescent="0.3">
      <c r="L456">
        <v>444</v>
      </c>
      <c r="M456">
        <v>0</v>
      </c>
      <c r="N456">
        <v>0.52689242386277801</v>
      </c>
    </row>
    <row r="457" spans="12:14" x14ac:dyDescent="0.3">
      <c r="L457">
        <v>445</v>
      </c>
      <c r="M457">
        <v>0</v>
      </c>
      <c r="N457">
        <v>0.51097477687258896</v>
      </c>
    </row>
    <row r="458" spans="12:14" x14ac:dyDescent="0.3">
      <c r="L458">
        <v>446</v>
      </c>
      <c r="M458">
        <v>0</v>
      </c>
      <c r="N458">
        <v>0.87298177773045904</v>
      </c>
    </row>
    <row r="459" spans="12:14" x14ac:dyDescent="0.3">
      <c r="L459">
        <v>447</v>
      </c>
      <c r="M459">
        <v>1</v>
      </c>
      <c r="N459">
        <v>0.51281872137799978</v>
      </c>
    </row>
    <row r="460" spans="12:14" x14ac:dyDescent="0.3">
      <c r="L460">
        <v>448</v>
      </c>
      <c r="M460">
        <v>0</v>
      </c>
      <c r="N460">
        <v>0.62945571290779589</v>
      </c>
    </row>
    <row r="461" spans="12:14" x14ac:dyDescent="0.3">
      <c r="L461">
        <v>449</v>
      </c>
      <c r="M461">
        <v>1</v>
      </c>
      <c r="N461">
        <v>0.79360569434664607</v>
      </c>
    </row>
    <row r="462" spans="12:14" x14ac:dyDescent="0.3">
      <c r="L462">
        <v>450</v>
      </c>
      <c r="M462">
        <v>0</v>
      </c>
      <c r="N462">
        <v>0.7779808667315129</v>
      </c>
    </row>
    <row r="463" spans="12:14" x14ac:dyDescent="0.3">
      <c r="L463">
        <v>451</v>
      </c>
      <c r="M463">
        <v>1</v>
      </c>
      <c r="N463">
        <v>0.94193267577984741</v>
      </c>
    </row>
    <row r="464" spans="12:14" x14ac:dyDescent="0.3">
      <c r="L464">
        <v>452</v>
      </c>
      <c r="M464">
        <v>0</v>
      </c>
      <c r="N464">
        <v>0.86945111240202089</v>
      </c>
    </row>
    <row r="465" spans="12:14" x14ac:dyDescent="0.3">
      <c r="L465">
        <v>453</v>
      </c>
      <c r="M465">
        <v>1</v>
      </c>
      <c r="N465">
        <v>0.56063648914619224</v>
      </c>
    </row>
    <row r="466" spans="12:14" x14ac:dyDescent="0.3">
      <c r="L466">
        <v>454</v>
      </c>
      <c r="M466">
        <v>0</v>
      </c>
      <c r="N466">
        <v>0.76190538060765289</v>
      </c>
    </row>
    <row r="467" spans="12:14" x14ac:dyDescent="0.3">
      <c r="L467">
        <v>455</v>
      </c>
      <c r="M467">
        <v>0</v>
      </c>
      <c r="N467">
        <v>0.58446620683736872</v>
      </c>
    </row>
    <row r="468" spans="12:14" x14ac:dyDescent="0.3">
      <c r="L468">
        <v>456</v>
      </c>
      <c r="M468">
        <v>0</v>
      </c>
      <c r="N468">
        <v>0.95858590829352563</v>
      </c>
    </row>
    <row r="469" spans="12:14" x14ac:dyDescent="0.3">
      <c r="L469">
        <v>457</v>
      </c>
      <c r="M469">
        <v>1</v>
      </c>
      <c r="N469">
        <v>0.71471446849985143</v>
      </c>
    </row>
    <row r="470" spans="12:14" x14ac:dyDescent="0.3">
      <c r="L470">
        <v>458</v>
      </c>
      <c r="M470">
        <v>0</v>
      </c>
      <c r="N470">
        <v>0.73518156029549142</v>
      </c>
    </row>
    <row r="471" spans="12:14" x14ac:dyDescent="0.3">
      <c r="L471">
        <v>459</v>
      </c>
      <c r="M471">
        <v>1</v>
      </c>
      <c r="N471">
        <v>0.40364013339088595</v>
      </c>
    </row>
    <row r="472" spans="12:14" x14ac:dyDescent="0.3">
      <c r="L472">
        <v>460</v>
      </c>
      <c r="M472">
        <v>1</v>
      </c>
      <c r="N472">
        <v>0.47800809227202445</v>
      </c>
    </row>
    <row r="473" spans="12:14" x14ac:dyDescent="0.3">
      <c r="L473">
        <v>461</v>
      </c>
      <c r="M473">
        <v>1</v>
      </c>
      <c r="N473">
        <v>0.76025953373772748</v>
      </c>
    </row>
    <row r="474" spans="12:14" x14ac:dyDescent="0.3">
      <c r="L474">
        <v>462</v>
      </c>
      <c r="M474">
        <v>1</v>
      </c>
      <c r="N474">
        <v>0.55923607910186335</v>
      </c>
    </row>
    <row r="475" spans="12:14" x14ac:dyDescent="0.3">
      <c r="L475">
        <v>463</v>
      </c>
      <c r="M475">
        <v>1</v>
      </c>
      <c r="N475">
        <v>0.49242360666668533</v>
      </c>
    </row>
    <row r="476" spans="12:14" x14ac:dyDescent="0.3">
      <c r="L476">
        <v>464</v>
      </c>
      <c r="M476">
        <v>1</v>
      </c>
      <c r="N476">
        <v>0.45147227559412617</v>
      </c>
    </row>
    <row r="477" spans="12:14" x14ac:dyDescent="0.3">
      <c r="L477">
        <v>465</v>
      </c>
      <c r="M477">
        <v>0</v>
      </c>
      <c r="N477">
        <v>0.73520235440907267</v>
      </c>
    </row>
    <row r="478" spans="12:14" x14ac:dyDescent="0.3">
      <c r="L478">
        <v>466</v>
      </c>
      <c r="M478">
        <v>1</v>
      </c>
      <c r="N478">
        <v>0.97826076509937365</v>
      </c>
    </row>
    <row r="479" spans="12:14" x14ac:dyDescent="0.3">
      <c r="L479">
        <v>467</v>
      </c>
      <c r="M479">
        <v>0</v>
      </c>
      <c r="N479">
        <v>0.68874871885830657</v>
      </c>
    </row>
    <row r="480" spans="12:14" x14ac:dyDescent="0.3">
      <c r="L480">
        <v>468</v>
      </c>
      <c r="M480">
        <v>1</v>
      </c>
      <c r="N480">
        <v>0.62092431122340175</v>
      </c>
    </row>
    <row r="481" spans="12:14" x14ac:dyDescent="0.3">
      <c r="L481">
        <v>469</v>
      </c>
      <c r="M481">
        <v>1</v>
      </c>
      <c r="N481">
        <v>0.86817605310620261</v>
      </c>
    </row>
    <row r="482" spans="12:14" x14ac:dyDescent="0.3">
      <c r="L482">
        <v>470</v>
      </c>
      <c r="M482">
        <v>1</v>
      </c>
      <c r="N482">
        <v>0.63513059176745179</v>
      </c>
    </row>
    <row r="483" spans="12:14" x14ac:dyDescent="0.3">
      <c r="L483">
        <v>471</v>
      </c>
      <c r="M483">
        <v>1</v>
      </c>
      <c r="N483">
        <v>0.72391611066814798</v>
      </c>
    </row>
    <row r="484" spans="12:14" x14ac:dyDescent="0.3">
      <c r="L484">
        <v>472</v>
      </c>
      <c r="M484">
        <v>1</v>
      </c>
      <c r="N484">
        <v>0.91496690365483668</v>
      </c>
    </row>
    <row r="485" spans="12:14" x14ac:dyDescent="0.3">
      <c r="L485">
        <v>473</v>
      </c>
      <c r="M485">
        <v>0</v>
      </c>
      <c r="N485">
        <v>0.68724263482458103</v>
      </c>
    </row>
    <row r="486" spans="12:14" x14ac:dyDescent="0.3">
      <c r="L486">
        <v>474</v>
      </c>
      <c r="M486">
        <v>1</v>
      </c>
      <c r="N486">
        <v>0.83006409088580746</v>
      </c>
    </row>
    <row r="487" spans="12:14" x14ac:dyDescent="0.3">
      <c r="L487">
        <v>475</v>
      </c>
      <c r="M487">
        <v>1</v>
      </c>
      <c r="N487">
        <v>0.90324632983635311</v>
      </c>
    </row>
    <row r="488" spans="12:14" x14ac:dyDescent="0.3">
      <c r="L488">
        <v>476</v>
      </c>
      <c r="M488">
        <v>1</v>
      </c>
      <c r="N488">
        <v>0.56126487831085647</v>
      </c>
    </row>
    <row r="489" spans="12:14" x14ac:dyDescent="0.3">
      <c r="L489">
        <v>477</v>
      </c>
      <c r="M489">
        <v>1</v>
      </c>
      <c r="N489">
        <v>0.98494326698275603</v>
      </c>
    </row>
    <row r="490" spans="12:14" x14ac:dyDescent="0.3">
      <c r="L490">
        <v>478</v>
      </c>
      <c r="M490">
        <v>0</v>
      </c>
      <c r="N490">
        <v>0.30107134288667092</v>
      </c>
    </row>
    <row r="491" spans="12:14" x14ac:dyDescent="0.3">
      <c r="L491">
        <v>479</v>
      </c>
      <c r="M491">
        <v>0</v>
      </c>
      <c r="N491">
        <v>0.40867702394266026</v>
      </c>
    </row>
    <row r="492" spans="12:14" x14ac:dyDescent="0.3">
      <c r="L492">
        <v>480</v>
      </c>
      <c r="M492">
        <v>1</v>
      </c>
      <c r="N492">
        <v>0.81637072893562435</v>
      </c>
    </row>
    <row r="493" spans="12:14" x14ac:dyDescent="0.3">
      <c r="L493">
        <v>481</v>
      </c>
      <c r="M493">
        <v>1</v>
      </c>
      <c r="N493">
        <v>0.86699815727551344</v>
      </c>
    </row>
    <row r="494" spans="12:14" x14ac:dyDescent="0.3">
      <c r="L494">
        <v>482</v>
      </c>
      <c r="M494">
        <v>1</v>
      </c>
      <c r="N494">
        <v>0.39124031291881645</v>
      </c>
    </row>
    <row r="495" spans="12:14" x14ac:dyDescent="0.3">
      <c r="L495">
        <v>483</v>
      </c>
      <c r="M495">
        <v>0</v>
      </c>
      <c r="N495">
        <v>0.63071565960638742</v>
      </c>
    </row>
    <row r="496" spans="12:14" x14ac:dyDescent="0.3">
      <c r="L496">
        <v>484</v>
      </c>
      <c r="M496">
        <v>1</v>
      </c>
      <c r="N496">
        <v>0.68588827463319324</v>
      </c>
    </row>
    <row r="497" spans="12:14" x14ac:dyDescent="0.3">
      <c r="L497">
        <v>485</v>
      </c>
      <c r="M497">
        <v>1</v>
      </c>
      <c r="N497">
        <v>5.4166078433882228E-2</v>
      </c>
    </row>
    <row r="498" spans="12:14" x14ac:dyDescent="0.3">
      <c r="L498">
        <v>486</v>
      </c>
      <c r="M498">
        <v>0</v>
      </c>
      <c r="N498">
        <v>0.88507446434721881</v>
      </c>
    </row>
    <row r="499" spans="12:14" x14ac:dyDescent="0.3">
      <c r="L499">
        <v>487</v>
      </c>
      <c r="M499">
        <v>1</v>
      </c>
      <c r="N499">
        <v>0.48229298839456514</v>
      </c>
    </row>
    <row r="500" spans="12:14" x14ac:dyDescent="0.3">
      <c r="L500">
        <v>488</v>
      </c>
      <c r="M500">
        <v>1</v>
      </c>
      <c r="N500">
        <v>0.33980066843591517</v>
      </c>
    </row>
    <row r="501" spans="12:14" x14ac:dyDescent="0.3">
      <c r="L501">
        <v>489</v>
      </c>
      <c r="M501">
        <v>0</v>
      </c>
      <c r="N501">
        <v>0.48206030386241083</v>
      </c>
    </row>
    <row r="502" spans="12:14" x14ac:dyDescent="0.3">
      <c r="L502">
        <v>490</v>
      </c>
      <c r="M502">
        <v>1</v>
      </c>
      <c r="N502">
        <v>0.78479878633761502</v>
      </c>
    </row>
    <row r="503" spans="12:14" x14ac:dyDescent="0.3">
      <c r="L503">
        <v>491</v>
      </c>
      <c r="M503">
        <v>0</v>
      </c>
      <c r="N503">
        <v>0.60760534835713331</v>
      </c>
    </row>
    <row r="504" spans="12:14" x14ac:dyDescent="0.3">
      <c r="L504">
        <v>492</v>
      </c>
      <c r="M504">
        <v>1</v>
      </c>
      <c r="N504">
        <v>0.68570163460596623</v>
      </c>
    </row>
    <row r="505" spans="12:14" x14ac:dyDescent="0.3">
      <c r="L505">
        <v>493</v>
      </c>
      <c r="M505">
        <v>1</v>
      </c>
      <c r="N505">
        <v>0.88361127646485027</v>
      </c>
    </row>
    <row r="506" spans="12:14" x14ac:dyDescent="0.3">
      <c r="L506">
        <v>494</v>
      </c>
      <c r="M506">
        <v>1</v>
      </c>
      <c r="N506">
        <v>0.40736304918118438</v>
      </c>
    </row>
    <row r="507" spans="12:14" x14ac:dyDescent="0.3">
      <c r="L507">
        <v>495</v>
      </c>
      <c r="M507">
        <v>1</v>
      </c>
      <c r="N507">
        <v>0.39247946378175186</v>
      </c>
    </row>
    <row r="508" spans="12:14" x14ac:dyDescent="0.3">
      <c r="L508">
        <v>496</v>
      </c>
      <c r="M508">
        <v>1</v>
      </c>
      <c r="N508">
        <v>0.92519686216170272</v>
      </c>
    </row>
    <row r="509" spans="12:14" x14ac:dyDescent="0.3">
      <c r="L509">
        <v>497</v>
      </c>
      <c r="M509">
        <v>0</v>
      </c>
      <c r="N509">
        <v>0.80610561605185493</v>
      </c>
    </row>
    <row r="510" spans="12:14" x14ac:dyDescent="0.3">
      <c r="L510">
        <v>498</v>
      </c>
      <c r="M510">
        <v>1</v>
      </c>
      <c r="N510">
        <v>0.9285619931331377</v>
      </c>
    </row>
    <row r="511" spans="12:14" x14ac:dyDescent="0.3">
      <c r="L511">
        <v>499</v>
      </c>
      <c r="M511">
        <v>1</v>
      </c>
      <c r="N511">
        <v>0.7134777176849163</v>
      </c>
    </row>
    <row r="512" spans="12:14" x14ac:dyDescent="0.3">
      <c r="L512">
        <v>500</v>
      </c>
      <c r="M512">
        <v>1</v>
      </c>
      <c r="N512">
        <v>0.52322289392739829</v>
      </c>
    </row>
    <row r="513" spans="12:14" x14ac:dyDescent="0.3">
      <c r="L513">
        <v>501</v>
      </c>
      <c r="M513">
        <v>1</v>
      </c>
      <c r="N513">
        <v>0.38004441737376699</v>
      </c>
    </row>
    <row r="514" spans="12:14" x14ac:dyDescent="0.3">
      <c r="L514">
        <v>502</v>
      </c>
      <c r="M514">
        <v>1</v>
      </c>
      <c r="N514">
        <v>0.34522634479285014</v>
      </c>
    </row>
    <row r="515" spans="12:14" x14ac:dyDescent="0.3">
      <c r="L515">
        <v>503</v>
      </c>
      <c r="M515">
        <v>0</v>
      </c>
      <c r="N515">
        <v>0.73227934178130583</v>
      </c>
    </row>
    <row r="516" spans="12:14" x14ac:dyDescent="0.3">
      <c r="L516">
        <v>504</v>
      </c>
      <c r="M516">
        <v>1</v>
      </c>
      <c r="N516">
        <v>0.31934373808645622</v>
      </c>
    </row>
    <row r="517" spans="12:14" x14ac:dyDescent="0.3">
      <c r="L517">
        <v>505</v>
      </c>
      <c r="M517">
        <v>0</v>
      </c>
      <c r="N517">
        <v>0.77535428884201629</v>
      </c>
    </row>
    <row r="518" spans="12:14" x14ac:dyDescent="0.3">
      <c r="L518">
        <v>506</v>
      </c>
      <c r="M518">
        <v>1</v>
      </c>
      <c r="N518">
        <v>0.96992506656903366</v>
      </c>
    </row>
    <row r="519" spans="12:14" x14ac:dyDescent="0.3">
      <c r="L519">
        <v>507</v>
      </c>
      <c r="M519">
        <v>1</v>
      </c>
      <c r="N519">
        <v>0.56062074620750324</v>
      </c>
    </row>
    <row r="520" spans="12:14" x14ac:dyDescent="0.3">
      <c r="L520">
        <v>508</v>
      </c>
      <c r="M520">
        <v>0</v>
      </c>
      <c r="N520">
        <v>0.83489039492265738</v>
      </c>
    </row>
    <row r="521" spans="12:14" x14ac:dyDescent="0.3">
      <c r="L521">
        <v>509</v>
      </c>
      <c r="M521">
        <v>1</v>
      </c>
      <c r="N521">
        <v>0.86937348254906799</v>
      </c>
    </row>
    <row r="522" spans="12:14" x14ac:dyDescent="0.3">
      <c r="L522">
        <v>510</v>
      </c>
      <c r="M522">
        <v>1</v>
      </c>
      <c r="N522">
        <v>0.82299194655080099</v>
      </c>
    </row>
    <row r="523" spans="12:14" x14ac:dyDescent="0.3">
      <c r="L523">
        <v>511</v>
      </c>
      <c r="M523">
        <v>1</v>
      </c>
      <c r="N523">
        <v>0.28089382426641918</v>
      </c>
    </row>
    <row r="524" spans="12:14" x14ac:dyDescent="0.3">
      <c r="L524">
        <v>512</v>
      </c>
      <c r="M524">
        <v>1</v>
      </c>
      <c r="N524">
        <v>0.49249749461884451</v>
      </c>
    </row>
    <row r="525" spans="12:14" x14ac:dyDescent="0.3">
      <c r="L525">
        <v>513</v>
      </c>
      <c r="M525">
        <v>1</v>
      </c>
      <c r="N525">
        <v>0.82930198618533002</v>
      </c>
    </row>
    <row r="526" spans="12:14" x14ac:dyDescent="0.3">
      <c r="L526">
        <v>514</v>
      </c>
      <c r="M526">
        <v>1</v>
      </c>
      <c r="N526">
        <v>0.88033085341118444</v>
      </c>
    </row>
    <row r="527" spans="12:14" x14ac:dyDescent="0.3">
      <c r="L527">
        <v>515</v>
      </c>
      <c r="M527">
        <v>1</v>
      </c>
      <c r="N527">
        <v>0.57676745716918887</v>
      </c>
    </row>
    <row r="528" spans="12:14" x14ac:dyDescent="0.3">
      <c r="L528">
        <v>516</v>
      </c>
      <c r="M528">
        <v>1</v>
      </c>
      <c r="N528">
        <v>0.18080071227143324</v>
      </c>
    </row>
    <row r="529" spans="12:14" x14ac:dyDescent="0.3">
      <c r="L529">
        <v>517</v>
      </c>
      <c r="M529">
        <v>0</v>
      </c>
      <c r="N529">
        <v>0.76699024645267633</v>
      </c>
    </row>
    <row r="530" spans="12:14" x14ac:dyDescent="0.3">
      <c r="L530">
        <v>518</v>
      </c>
      <c r="M530">
        <v>1</v>
      </c>
      <c r="N530">
        <v>0.37045920195256116</v>
      </c>
    </row>
    <row r="531" spans="12:14" x14ac:dyDescent="0.3">
      <c r="L531">
        <v>519</v>
      </c>
      <c r="M531">
        <v>1</v>
      </c>
      <c r="N531">
        <v>0.5830473738828601</v>
      </c>
    </row>
    <row r="532" spans="12:14" x14ac:dyDescent="0.3">
      <c r="L532">
        <v>520</v>
      </c>
      <c r="M532">
        <v>1</v>
      </c>
      <c r="N532">
        <v>0.31475387311097192</v>
      </c>
    </row>
    <row r="533" spans="12:14" x14ac:dyDescent="0.3">
      <c r="L533">
        <v>521</v>
      </c>
      <c r="M533">
        <v>1</v>
      </c>
      <c r="N533">
        <v>0.33964587835418902</v>
      </c>
    </row>
    <row r="534" spans="12:14" x14ac:dyDescent="0.3">
      <c r="L534">
        <v>522</v>
      </c>
      <c r="M534">
        <v>1</v>
      </c>
      <c r="N534">
        <v>0.85220313502097544</v>
      </c>
    </row>
    <row r="535" spans="12:14" x14ac:dyDescent="0.3">
      <c r="L535">
        <v>523</v>
      </c>
      <c r="M535">
        <v>1</v>
      </c>
      <c r="N535">
        <v>0.12475541728688189</v>
      </c>
    </row>
    <row r="536" spans="12:14" x14ac:dyDescent="0.3">
      <c r="L536">
        <v>524</v>
      </c>
      <c r="M536">
        <v>1</v>
      </c>
      <c r="N536">
        <v>0.35056046168074328</v>
      </c>
    </row>
    <row r="537" spans="12:14" x14ac:dyDescent="0.3">
      <c r="L537">
        <v>525</v>
      </c>
      <c r="M537">
        <v>0</v>
      </c>
      <c r="N537">
        <v>0.9417245189520288</v>
      </c>
    </row>
    <row r="538" spans="12:14" x14ac:dyDescent="0.3">
      <c r="L538">
        <v>526</v>
      </c>
      <c r="M538">
        <v>1</v>
      </c>
      <c r="N538">
        <v>0.82724070612938538</v>
      </c>
    </row>
    <row r="539" spans="12:14" x14ac:dyDescent="0.3">
      <c r="L539">
        <v>527</v>
      </c>
      <c r="M539">
        <v>1</v>
      </c>
      <c r="N539">
        <v>0.36635167014108261</v>
      </c>
    </row>
    <row r="540" spans="12:14" x14ac:dyDescent="0.3">
      <c r="L540">
        <v>528</v>
      </c>
      <c r="M540">
        <v>1</v>
      </c>
      <c r="N540">
        <v>0.4064688649231325</v>
      </c>
    </row>
    <row r="541" spans="12:14" x14ac:dyDescent="0.3">
      <c r="L541">
        <v>529</v>
      </c>
      <c r="M541">
        <v>1</v>
      </c>
      <c r="N541">
        <v>0.86382330410432606</v>
      </c>
    </row>
    <row r="542" spans="12:14" x14ac:dyDescent="0.3">
      <c r="L542">
        <v>530</v>
      </c>
      <c r="M542">
        <v>1</v>
      </c>
      <c r="N542">
        <v>0.9254706902445502</v>
      </c>
    </row>
    <row r="543" spans="12:14" x14ac:dyDescent="0.3">
      <c r="L543">
        <v>531</v>
      </c>
      <c r="M543">
        <v>0</v>
      </c>
      <c r="N543">
        <v>0.59389947213582939</v>
      </c>
    </row>
    <row r="544" spans="12:14" x14ac:dyDescent="0.3">
      <c r="L544">
        <v>532</v>
      </c>
      <c r="M544">
        <v>1</v>
      </c>
      <c r="N544">
        <v>0.48494286388522789</v>
      </c>
    </row>
    <row r="545" spans="12:14" x14ac:dyDescent="0.3">
      <c r="L545">
        <v>533</v>
      </c>
      <c r="M545">
        <v>1</v>
      </c>
      <c r="N545">
        <v>0.58747553362335025</v>
      </c>
    </row>
    <row r="546" spans="12:14" x14ac:dyDescent="0.3">
      <c r="L546">
        <v>534</v>
      </c>
      <c r="M546">
        <v>1</v>
      </c>
      <c r="N546">
        <v>0.85482033609104513</v>
      </c>
    </row>
    <row r="547" spans="12:14" x14ac:dyDescent="0.3">
      <c r="L547">
        <v>535</v>
      </c>
      <c r="M547">
        <v>1</v>
      </c>
      <c r="N547">
        <v>0.89171470677728149</v>
      </c>
    </row>
    <row r="548" spans="12:14" x14ac:dyDescent="0.3">
      <c r="L548">
        <v>536</v>
      </c>
      <c r="M548">
        <v>1</v>
      </c>
      <c r="N548">
        <v>0.76972991419264414</v>
      </c>
    </row>
    <row r="549" spans="12:14" x14ac:dyDescent="0.3">
      <c r="L549">
        <v>537</v>
      </c>
      <c r="M549">
        <v>1</v>
      </c>
      <c r="N549">
        <v>0.15463672094487169</v>
      </c>
    </row>
    <row r="550" spans="12:14" x14ac:dyDescent="0.3">
      <c r="L550">
        <v>538</v>
      </c>
      <c r="M550">
        <v>1</v>
      </c>
      <c r="N550">
        <v>0.90164834350987833</v>
      </c>
    </row>
    <row r="551" spans="12:14" x14ac:dyDescent="0.3">
      <c r="L551">
        <v>539</v>
      </c>
      <c r="M551">
        <v>1</v>
      </c>
      <c r="N551">
        <v>0.83017145989999008</v>
      </c>
    </row>
    <row r="552" spans="12:14" x14ac:dyDescent="0.3">
      <c r="L552">
        <v>540</v>
      </c>
      <c r="M552">
        <v>1</v>
      </c>
      <c r="N552">
        <v>0.84534800809179789</v>
      </c>
    </row>
    <row r="553" spans="12:14" x14ac:dyDescent="0.3">
      <c r="L553">
        <v>541</v>
      </c>
      <c r="M553">
        <v>1</v>
      </c>
      <c r="N553">
        <v>0.7637332277381863</v>
      </c>
    </row>
    <row r="554" spans="12:14" x14ac:dyDescent="0.3">
      <c r="L554">
        <v>542</v>
      </c>
      <c r="M554">
        <v>1</v>
      </c>
      <c r="N554">
        <v>0.3647761199119236</v>
      </c>
    </row>
    <row r="555" spans="12:14" x14ac:dyDescent="0.3">
      <c r="L555">
        <v>543</v>
      </c>
      <c r="M555">
        <v>1</v>
      </c>
      <c r="N555">
        <v>0.65790919428132133</v>
      </c>
    </row>
    <row r="556" spans="12:14" x14ac:dyDescent="0.3">
      <c r="L556">
        <v>544</v>
      </c>
      <c r="M556">
        <v>0</v>
      </c>
      <c r="N556">
        <v>0.25581841293833285</v>
      </c>
    </row>
    <row r="557" spans="12:14" x14ac:dyDescent="0.3">
      <c r="L557">
        <v>545</v>
      </c>
      <c r="M557">
        <v>1</v>
      </c>
      <c r="N557">
        <v>0.98348012010093777</v>
      </c>
    </row>
    <row r="558" spans="12:14" x14ac:dyDescent="0.3">
      <c r="L558">
        <v>546</v>
      </c>
      <c r="M558">
        <v>1</v>
      </c>
      <c r="N558">
        <v>0.54414343239235341</v>
      </c>
    </row>
    <row r="559" spans="12:14" x14ac:dyDescent="0.3">
      <c r="L559">
        <v>547</v>
      </c>
      <c r="M559">
        <v>1</v>
      </c>
      <c r="N559">
        <v>0.82376428236785426</v>
      </c>
    </row>
    <row r="560" spans="12:14" x14ac:dyDescent="0.3">
      <c r="L560">
        <v>548</v>
      </c>
      <c r="M560">
        <v>1</v>
      </c>
      <c r="N560">
        <v>0.74575815909414334</v>
      </c>
    </row>
    <row r="561" spans="12:14" x14ac:dyDescent="0.3">
      <c r="L561">
        <v>549</v>
      </c>
      <c r="M561">
        <v>0</v>
      </c>
      <c r="N561">
        <v>0.22117966107490578</v>
      </c>
    </row>
    <row r="562" spans="12:14" x14ac:dyDescent="0.3">
      <c r="L562">
        <v>550</v>
      </c>
      <c r="M562">
        <v>1</v>
      </c>
      <c r="N562">
        <v>0.58307492681243944</v>
      </c>
    </row>
    <row r="563" spans="12:14" x14ac:dyDescent="0.3">
      <c r="L563">
        <v>551</v>
      </c>
      <c r="M563">
        <v>1</v>
      </c>
      <c r="N563">
        <v>0.7362000961432863</v>
      </c>
    </row>
    <row r="564" spans="12:14" x14ac:dyDescent="0.3">
      <c r="L564">
        <v>552</v>
      </c>
      <c r="M564">
        <v>1</v>
      </c>
      <c r="N564">
        <v>0.91932828614511575</v>
      </c>
    </row>
    <row r="565" spans="12:14" x14ac:dyDescent="0.3">
      <c r="L565">
        <v>553</v>
      </c>
      <c r="M565">
        <v>0</v>
      </c>
      <c r="N565">
        <v>0.61079910301668017</v>
      </c>
    </row>
    <row r="566" spans="12:14" x14ac:dyDescent="0.3">
      <c r="L566">
        <v>554</v>
      </c>
      <c r="M566">
        <v>1</v>
      </c>
      <c r="N566">
        <v>0.45647659883640423</v>
      </c>
    </row>
    <row r="567" spans="12:14" x14ac:dyDescent="0.3">
      <c r="L567">
        <v>555</v>
      </c>
      <c r="M567">
        <v>0</v>
      </c>
      <c r="N567">
        <v>0.63509300927697754</v>
      </c>
    </row>
    <row r="568" spans="12:14" x14ac:dyDescent="0.3">
      <c r="L568">
        <v>556</v>
      </c>
      <c r="M568">
        <v>1</v>
      </c>
      <c r="N568">
        <v>0.88301542752441042</v>
      </c>
    </row>
    <row r="569" spans="12:14" x14ac:dyDescent="0.3">
      <c r="L569">
        <v>557</v>
      </c>
      <c r="M569">
        <v>1</v>
      </c>
      <c r="N569">
        <v>0.81399392023420214</v>
      </c>
    </row>
    <row r="570" spans="12:14" x14ac:dyDescent="0.3">
      <c r="L570">
        <v>558</v>
      </c>
      <c r="M570">
        <v>1</v>
      </c>
      <c r="N570">
        <v>0.58729233798682356</v>
      </c>
    </row>
    <row r="571" spans="12:14" x14ac:dyDescent="0.3">
      <c r="L571">
        <v>559</v>
      </c>
      <c r="M571">
        <v>0</v>
      </c>
      <c r="N571">
        <v>0.81389821415830133</v>
      </c>
    </row>
    <row r="572" spans="12:14" x14ac:dyDescent="0.3">
      <c r="L572">
        <v>560</v>
      </c>
      <c r="M572">
        <v>1</v>
      </c>
      <c r="N572">
        <v>0.88879523514634273</v>
      </c>
    </row>
    <row r="573" spans="12:14" x14ac:dyDescent="0.3">
      <c r="L573">
        <v>561</v>
      </c>
      <c r="M573">
        <v>1</v>
      </c>
      <c r="N573">
        <v>0.83353842726004279</v>
      </c>
    </row>
    <row r="574" spans="12:14" x14ac:dyDescent="0.3">
      <c r="L574">
        <v>562</v>
      </c>
      <c r="M574">
        <v>1</v>
      </c>
      <c r="N574">
        <v>0.7439711189354743</v>
      </c>
    </row>
    <row r="575" spans="12:14" x14ac:dyDescent="0.3">
      <c r="L575">
        <v>563</v>
      </c>
      <c r="M575">
        <v>1</v>
      </c>
      <c r="N575">
        <v>0.59983209418143557</v>
      </c>
    </row>
    <row r="576" spans="12:14" x14ac:dyDescent="0.3">
      <c r="L576">
        <v>564</v>
      </c>
      <c r="M576">
        <v>0</v>
      </c>
      <c r="N576">
        <v>0.23138294695801981</v>
      </c>
    </row>
    <row r="577" spans="12:14" x14ac:dyDescent="0.3">
      <c r="L577">
        <v>565</v>
      </c>
      <c r="M577">
        <v>1</v>
      </c>
      <c r="N577">
        <v>0.89526828283152726</v>
      </c>
    </row>
    <row r="578" spans="12:14" x14ac:dyDescent="0.3">
      <c r="L578">
        <v>566</v>
      </c>
      <c r="M578">
        <v>1</v>
      </c>
      <c r="N578">
        <v>0.42527883793831117</v>
      </c>
    </row>
    <row r="579" spans="12:14" x14ac:dyDescent="0.3">
      <c r="L579">
        <v>567</v>
      </c>
      <c r="M579">
        <v>1</v>
      </c>
      <c r="N579">
        <v>0.91219228279847298</v>
      </c>
    </row>
    <row r="580" spans="12:14" x14ac:dyDescent="0.3">
      <c r="L580">
        <v>568</v>
      </c>
      <c r="M580">
        <v>0</v>
      </c>
      <c r="N580">
        <v>0.65602258566242877</v>
      </c>
    </row>
    <row r="581" spans="12:14" x14ac:dyDescent="0.3">
      <c r="L581">
        <v>569</v>
      </c>
      <c r="M581">
        <v>1</v>
      </c>
      <c r="N581">
        <v>0.56126454456850128</v>
      </c>
    </row>
    <row r="582" spans="12:14" x14ac:dyDescent="0.3">
      <c r="L582">
        <v>570</v>
      </c>
      <c r="M582">
        <v>0</v>
      </c>
      <c r="N582">
        <v>0.91846642205822426</v>
      </c>
    </row>
    <row r="583" spans="12:14" x14ac:dyDescent="0.3">
      <c r="L583">
        <v>571</v>
      </c>
      <c r="M583">
        <v>0</v>
      </c>
      <c r="N583">
        <v>0.19245613237979886</v>
      </c>
    </row>
    <row r="584" spans="12:14" x14ac:dyDescent="0.3">
      <c r="L584">
        <v>572</v>
      </c>
      <c r="M584">
        <v>1</v>
      </c>
      <c r="N584">
        <v>0.68546166976708334</v>
      </c>
    </row>
    <row r="585" spans="12:14" x14ac:dyDescent="0.3">
      <c r="L585">
        <v>573</v>
      </c>
      <c r="M585">
        <v>1</v>
      </c>
      <c r="N585">
        <v>0.9378317436016842</v>
      </c>
    </row>
    <row r="586" spans="12:14" x14ac:dyDescent="0.3">
      <c r="L586">
        <v>574</v>
      </c>
      <c r="M586">
        <v>1</v>
      </c>
      <c r="N586">
        <v>0.7493683619820769</v>
      </c>
    </row>
    <row r="587" spans="12:14" x14ac:dyDescent="0.3">
      <c r="L587">
        <v>575</v>
      </c>
      <c r="M587">
        <v>1</v>
      </c>
      <c r="N587">
        <v>0.90611131678213375</v>
      </c>
    </row>
    <row r="588" spans="12:14" x14ac:dyDescent="0.3">
      <c r="L588">
        <v>576</v>
      </c>
      <c r="M588">
        <v>1</v>
      </c>
      <c r="N588">
        <v>0.54200247335609775</v>
      </c>
    </row>
    <row r="589" spans="12:14" x14ac:dyDescent="0.3">
      <c r="L589">
        <v>577</v>
      </c>
      <c r="M589">
        <v>1</v>
      </c>
      <c r="N589">
        <v>0.69271688472396931</v>
      </c>
    </row>
    <row r="590" spans="12:14" x14ac:dyDescent="0.3">
      <c r="L590">
        <v>578</v>
      </c>
      <c r="M590">
        <v>1</v>
      </c>
      <c r="N590">
        <v>0.72708879607223298</v>
      </c>
    </row>
    <row r="591" spans="12:14" x14ac:dyDescent="0.3">
      <c r="L591">
        <v>579</v>
      </c>
      <c r="M591">
        <v>1</v>
      </c>
      <c r="N591">
        <v>0.38577039382520972</v>
      </c>
    </row>
    <row r="592" spans="12:14" x14ac:dyDescent="0.3">
      <c r="L592">
        <v>580</v>
      </c>
      <c r="M592">
        <v>1</v>
      </c>
      <c r="N592">
        <v>0.38883386865788044</v>
      </c>
    </row>
    <row r="593" spans="12:14" x14ac:dyDescent="0.3">
      <c r="L593">
        <v>581</v>
      </c>
      <c r="M593">
        <v>1</v>
      </c>
      <c r="N593">
        <v>0.54946640479698583</v>
      </c>
    </row>
    <row r="594" spans="12:14" x14ac:dyDescent="0.3">
      <c r="L594">
        <v>582</v>
      </c>
      <c r="M594">
        <v>0</v>
      </c>
      <c r="N594">
        <v>0.51703681120337608</v>
      </c>
    </row>
    <row r="595" spans="12:14" x14ac:dyDescent="0.3">
      <c r="L595">
        <v>583</v>
      </c>
      <c r="M595">
        <v>1</v>
      </c>
      <c r="N595">
        <v>0.29832308522293338</v>
      </c>
    </row>
    <row r="596" spans="12:14" x14ac:dyDescent="0.3">
      <c r="L596">
        <v>584</v>
      </c>
      <c r="M596">
        <v>1</v>
      </c>
      <c r="N596">
        <v>0.6544122727158429</v>
      </c>
    </row>
    <row r="597" spans="12:14" x14ac:dyDescent="0.3">
      <c r="L597">
        <v>585</v>
      </c>
      <c r="M597">
        <v>1</v>
      </c>
      <c r="N597">
        <v>0.92061747829568896</v>
      </c>
    </row>
    <row r="598" spans="12:14" x14ac:dyDescent="0.3">
      <c r="L598">
        <v>586</v>
      </c>
      <c r="M598">
        <v>1</v>
      </c>
      <c r="N598">
        <v>0.94415247567453475</v>
      </c>
    </row>
    <row r="599" spans="12:14" x14ac:dyDescent="0.3">
      <c r="L599">
        <v>587</v>
      </c>
      <c r="M599">
        <v>1</v>
      </c>
      <c r="N599">
        <v>0.90910832010127773</v>
      </c>
    </row>
    <row r="600" spans="12:14" x14ac:dyDescent="0.3">
      <c r="L600">
        <v>588</v>
      </c>
      <c r="M600">
        <v>0</v>
      </c>
      <c r="N600">
        <v>0.54125963366846552</v>
      </c>
    </row>
    <row r="601" spans="12:14" x14ac:dyDescent="0.3">
      <c r="L601">
        <v>589</v>
      </c>
      <c r="M601">
        <v>1</v>
      </c>
      <c r="N601">
        <v>0.48409563074016526</v>
      </c>
    </row>
    <row r="602" spans="12:14" x14ac:dyDescent="0.3">
      <c r="L602">
        <v>590</v>
      </c>
      <c r="M602">
        <v>1</v>
      </c>
      <c r="N602">
        <v>0.82066932042608098</v>
      </c>
    </row>
    <row r="603" spans="12:14" x14ac:dyDescent="0.3">
      <c r="L603">
        <v>591</v>
      </c>
      <c r="M603">
        <v>1</v>
      </c>
      <c r="N603">
        <v>0.46906193919815053</v>
      </c>
    </row>
    <row r="604" spans="12:14" x14ac:dyDescent="0.3">
      <c r="L604">
        <v>592</v>
      </c>
      <c r="M604">
        <v>1</v>
      </c>
      <c r="N604">
        <v>0.42033373141818675</v>
      </c>
    </row>
    <row r="605" spans="12:14" x14ac:dyDescent="0.3">
      <c r="L605">
        <v>593</v>
      </c>
      <c r="M605">
        <v>1</v>
      </c>
      <c r="N605">
        <v>0.71868639182281835</v>
      </c>
    </row>
    <row r="606" spans="12:14" x14ac:dyDescent="0.3">
      <c r="L606">
        <v>594</v>
      </c>
      <c r="M606">
        <v>1</v>
      </c>
      <c r="N606">
        <v>0.58739948653305007</v>
      </c>
    </row>
    <row r="607" spans="12:14" x14ac:dyDescent="0.3">
      <c r="L607">
        <v>595</v>
      </c>
      <c r="M607">
        <v>0</v>
      </c>
      <c r="N607">
        <v>9.8694802403021822E-2</v>
      </c>
    </row>
    <row r="608" spans="12:14" x14ac:dyDescent="0.3">
      <c r="L608">
        <v>596</v>
      </c>
      <c r="M608">
        <v>1</v>
      </c>
      <c r="N608">
        <v>0.16119613985231793</v>
      </c>
    </row>
    <row r="609" spans="12:14" x14ac:dyDescent="0.3">
      <c r="L609">
        <v>597</v>
      </c>
      <c r="M609">
        <v>1</v>
      </c>
      <c r="N609">
        <v>0.86536139127603973</v>
      </c>
    </row>
    <row r="610" spans="12:14" x14ac:dyDescent="0.3">
      <c r="L610">
        <v>598</v>
      </c>
      <c r="M610">
        <v>1</v>
      </c>
      <c r="N610">
        <v>0.79347506008786173</v>
      </c>
    </row>
    <row r="611" spans="12:14" x14ac:dyDescent="0.3">
      <c r="L611">
        <v>599</v>
      </c>
      <c r="M611">
        <v>0</v>
      </c>
      <c r="N611">
        <v>0.17561757102018841</v>
      </c>
    </row>
    <row r="612" spans="12:14" x14ac:dyDescent="0.3">
      <c r="L612">
        <v>600</v>
      </c>
      <c r="M612">
        <v>0</v>
      </c>
      <c r="N612">
        <v>0.83490822866716419</v>
      </c>
    </row>
    <row r="613" spans="12:14" x14ac:dyDescent="0.3">
      <c r="L613">
        <v>601</v>
      </c>
      <c r="M613">
        <v>1</v>
      </c>
      <c r="N613">
        <v>0.50514523041989978</v>
      </c>
    </row>
    <row r="614" spans="12:14" x14ac:dyDescent="0.3">
      <c r="L614">
        <v>602</v>
      </c>
      <c r="M614">
        <v>1</v>
      </c>
      <c r="N614">
        <v>0.32710394886082278</v>
      </c>
    </row>
    <row r="615" spans="12:14" x14ac:dyDescent="0.3">
      <c r="L615">
        <v>603</v>
      </c>
      <c r="M615">
        <v>0</v>
      </c>
      <c r="N615">
        <v>0.92221814501008093</v>
      </c>
    </row>
    <row r="616" spans="12:14" x14ac:dyDescent="0.3">
      <c r="L616">
        <v>604</v>
      </c>
      <c r="M616">
        <v>1</v>
      </c>
      <c r="N616">
        <v>0.79704619870655402</v>
      </c>
    </row>
    <row r="617" spans="12:14" x14ac:dyDescent="0.3">
      <c r="L617">
        <v>605</v>
      </c>
      <c r="M617">
        <v>1</v>
      </c>
      <c r="N617">
        <v>0.9161310994947065</v>
      </c>
    </row>
    <row r="618" spans="12:14" x14ac:dyDescent="0.3">
      <c r="L618">
        <v>606</v>
      </c>
      <c r="M618">
        <v>1</v>
      </c>
      <c r="N618">
        <v>0.50427213770646928</v>
      </c>
    </row>
    <row r="619" spans="12:14" x14ac:dyDescent="0.3">
      <c r="L619">
        <v>607</v>
      </c>
      <c r="M619">
        <v>1</v>
      </c>
      <c r="N619">
        <v>0.83722029814708654</v>
      </c>
    </row>
    <row r="620" spans="12:14" x14ac:dyDescent="0.3">
      <c r="L620">
        <v>608</v>
      </c>
      <c r="M620">
        <v>1</v>
      </c>
      <c r="N620">
        <v>0.74074755389559455</v>
      </c>
    </row>
    <row r="621" spans="12:14" x14ac:dyDescent="0.3">
      <c r="L621">
        <v>609</v>
      </c>
      <c r="M621">
        <v>0</v>
      </c>
      <c r="N621">
        <v>0.50332374409934588</v>
      </c>
    </row>
    <row r="622" spans="12:14" x14ac:dyDescent="0.3">
      <c r="L622">
        <v>610</v>
      </c>
      <c r="M622">
        <v>1</v>
      </c>
      <c r="N622">
        <v>0.35148510175163228</v>
      </c>
    </row>
    <row r="623" spans="12:14" x14ac:dyDescent="0.3">
      <c r="L623">
        <v>611</v>
      </c>
      <c r="M623">
        <v>0</v>
      </c>
      <c r="N623">
        <v>0.74260856342564696</v>
      </c>
    </row>
    <row r="624" spans="12:14" x14ac:dyDescent="0.3">
      <c r="L624">
        <v>612</v>
      </c>
      <c r="M624">
        <v>1</v>
      </c>
      <c r="N624">
        <v>0.94437757033086978</v>
      </c>
    </row>
    <row r="625" spans="12:14" x14ac:dyDescent="0.3">
      <c r="L625">
        <v>613</v>
      </c>
      <c r="M625">
        <v>1</v>
      </c>
      <c r="N625">
        <v>0.85805732074150431</v>
      </c>
    </row>
    <row r="626" spans="12:14" x14ac:dyDescent="0.3">
      <c r="L626">
        <v>614</v>
      </c>
      <c r="M626">
        <v>1</v>
      </c>
      <c r="N626">
        <v>0.68152678711872183</v>
      </c>
    </row>
    <row r="627" spans="12:14" x14ac:dyDescent="0.3">
      <c r="L627">
        <v>615</v>
      </c>
      <c r="M627">
        <v>0</v>
      </c>
      <c r="N627">
        <v>0.60485857739879068</v>
      </c>
    </row>
    <row r="628" spans="12:14" x14ac:dyDescent="0.3">
      <c r="L628">
        <v>616</v>
      </c>
      <c r="M628">
        <v>1</v>
      </c>
      <c r="N628">
        <v>0.46380256096611217</v>
      </c>
    </row>
    <row r="629" spans="12:14" x14ac:dyDescent="0.3">
      <c r="L629">
        <v>617</v>
      </c>
      <c r="M629">
        <v>1</v>
      </c>
      <c r="N629">
        <v>0.61314383434394137</v>
      </c>
    </row>
    <row r="630" spans="12:14" x14ac:dyDescent="0.3">
      <c r="L630">
        <v>618</v>
      </c>
      <c r="M630">
        <v>1</v>
      </c>
      <c r="N630">
        <v>0.67506693396697748</v>
      </c>
    </row>
    <row r="631" spans="12:14" x14ac:dyDescent="0.3">
      <c r="L631">
        <v>619</v>
      </c>
      <c r="M631">
        <v>1</v>
      </c>
      <c r="N631">
        <v>0.27370111486101245</v>
      </c>
    </row>
    <row r="632" spans="12:14" x14ac:dyDescent="0.3">
      <c r="L632">
        <v>620</v>
      </c>
      <c r="M632">
        <v>1</v>
      </c>
      <c r="N632">
        <v>0.81294260442600907</v>
      </c>
    </row>
    <row r="633" spans="12:14" x14ac:dyDescent="0.3">
      <c r="L633">
        <v>621</v>
      </c>
      <c r="M633">
        <v>1</v>
      </c>
      <c r="N633">
        <v>0.72966120155260161</v>
      </c>
    </row>
    <row r="634" spans="12:14" x14ac:dyDescent="0.3">
      <c r="L634">
        <v>622</v>
      </c>
      <c r="M634">
        <v>1</v>
      </c>
      <c r="N634">
        <v>0.38506756399863096</v>
      </c>
    </row>
    <row r="635" spans="12:14" x14ac:dyDescent="0.3">
      <c r="L635">
        <v>623</v>
      </c>
      <c r="M635">
        <v>1</v>
      </c>
      <c r="N635">
        <v>0.84417658587512823</v>
      </c>
    </row>
    <row r="636" spans="12:14" x14ac:dyDescent="0.3">
      <c r="L636">
        <v>624</v>
      </c>
      <c r="M636">
        <v>0</v>
      </c>
      <c r="N636">
        <v>0.90915721465897226</v>
      </c>
    </row>
    <row r="637" spans="12:14" x14ac:dyDescent="0.3">
      <c r="L637">
        <v>625</v>
      </c>
      <c r="M637">
        <v>1</v>
      </c>
      <c r="N637">
        <v>0.73753535455459496</v>
      </c>
    </row>
    <row r="638" spans="12:14" x14ac:dyDescent="0.3">
      <c r="L638">
        <v>626</v>
      </c>
      <c r="M638">
        <v>1</v>
      </c>
      <c r="N638">
        <v>0.15898104143119879</v>
      </c>
    </row>
    <row r="639" spans="12:14" x14ac:dyDescent="0.3">
      <c r="L639">
        <v>627</v>
      </c>
      <c r="M639">
        <v>0</v>
      </c>
      <c r="N639">
        <v>0.5058290483495872</v>
      </c>
    </row>
    <row r="640" spans="12:14" x14ac:dyDescent="0.3">
      <c r="L640">
        <v>628</v>
      </c>
      <c r="M640">
        <v>1</v>
      </c>
      <c r="N640">
        <v>0.44492498535320202</v>
      </c>
    </row>
    <row r="641" spans="12:14" x14ac:dyDescent="0.3">
      <c r="L641">
        <v>629</v>
      </c>
      <c r="M641">
        <v>1</v>
      </c>
      <c r="N641">
        <v>0.8578000422150629</v>
      </c>
    </row>
    <row r="642" spans="12:14" x14ac:dyDescent="0.3">
      <c r="L642">
        <v>630</v>
      </c>
      <c r="M642">
        <v>1</v>
      </c>
      <c r="N642">
        <v>0.87033631640108333</v>
      </c>
    </row>
    <row r="643" spans="12:14" x14ac:dyDescent="0.3">
      <c r="L643">
        <v>631</v>
      </c>
      <c r="M643">
        <v>1</v>
      </c>
      <c r="N643">
        <v>0.56027086122365688</v>
      </c>
    </row>
    <row r="644" spans="12:14" x14ac:dyDescent="0.3">
      <c r="L644">
        <v>632</v>
      </c>
      <c r="M644">
        <v>1</v>
      </c>
      <c r="N644">
        <v>0.20539582806973061</v>
      </c>
    </row>
    <row r="645" spans="12:14" x14ac:dyDescent="0.3">
      <c r="L645">
        <v>633</v>
      </c>
      <c r="M645">
        <v>1</v>
      </c>
      <c r="N645">
        <v>0.88390777604484549</v>
      </c>
    </row>
    <row r="646" spans="12:14" x14ac:dyDescent="0.3">
      <c r="L646">
        <v>634</v>
      </c>
      <c r="M646">
        <v>1</v>
      </c>
      <c r="N646">
        <v>0.53207139543551174</v>
      </c>
    </row>
    <row r="647" spans="12:14" x14ac:dyDescent="0.3">
      <c r="L647">
        <v>635</v>
      </c>
      <c r="M647">
        <v>1</v>
      </c>
      <c r="N647">
        <v>0.46283942795584349</v>
      </c>
    </row>
    <row r="648" spans="12:14" x14ac:dyDescent="0.3">
      <c r="L648">
        <v>636</v>
      </c>
      <c r="M648">
        <v>0</v>
      </c>
      <c r="N648">
        <v>0.35103480202860493</v>
      </c>
    </row>
    <row r="649" spans="12:14" x14ac:dyDescent="0.3">
      <c r="L649">
        <v>637</v>
      </c>
      <c r="M649">
        <v>1</v>
      </c>
      <c r="N649">
        <v>0.76905549856856603</v>
      </c>
    </row>
    <row r="650" spans="12:14" x14ac:dyDescent="0.3">
      <c r="L650">
        <v>638</v>
      </c>
      <c r="M650">
        <v>1</v>
      </c>
      <c r="N650">
        <v>0.58233079706751012</v>
      </c>
    </row>
    <row r="651" spans="12:14" x14ac:dyDescent="0.3">
      <c r="L651">
        <v>639</v>
      </c>
      <c r="M651">
        <v>1</v>
      </c>
      <c r="N651">
        <v>0.65224979388152704</v>
      </c>
    </row>
    <row r="652" spans="12:14" x14ac:dyDescent="0.3">
      <c r="L652">
        <v>640</v>
      </c>
      <c r="M652">
        <v>1</v>
      </c>
      <c r="N652">
        <v>0.52838680055722287</v>
      </c>
    </row>
    <row r="653" spans="12:14" x14ac:dyDescent="0.3">
      <c r="L653">
        <v>641</v>
      </c>
      <c r="M653">
        <v>1</v>
      </c>
      <c r="N653">
        <v>0.88384838504938368</v>
      </c>
    </row>
    <row r="654" spans="12:14" x14ac:dyDescent="0.3">
      <c r="L654">
        <v>642</v>
      </c>
      <c r="M654">
        <v>1</v>
      </c>
      <c r="N654">
        <v>0.79037203393398014</v>
      </c>
    </row>
    <row r="655" spans="12:14" x14ac:dyDescent="0.3">
      <c r="L655">
        <v>643</v>
      </c>
      <c r="M655">
        <v>1</v>
      </c>
      <c r="N655">
        <v>0.37492038957856633</v>
      </c>
    </row>
    <row r="656" spans="12:14" x14ac:dyDescent="0.3">
      <c r="L656">
        <v>644</v>
      </c>
      <c r="M656">
        <v>0</v>
      </c>
      <c r="N656">
        <v>0.37929645549301833</v>
      </c>
    </row>
    <row r="657" spans="12:14" x14ac:dyDescent="0.3">
      <c r="L657">
        <v>645</v>
      </c>
      <c r="M657">
        <v>1</v>
      </c>
      <c r="N657">
        <v>0.86374711151676187</v>
      </c>
    </row>
    <row r="658" spans="12:14" x14ac:dyDescent="0.3">
      <c r="L658">
        <v>646</v>
      </c>
      <c r="M658">
        <v>1</v>
      </c>
      <c r="N658">
        <v>0.87556623844076475</v>
      </c>
    </row>
    <row r="659" spans="12:14" x14ac:dyDescent="0.3">
      <c r="L659">
        <v>647</v>
      </c>
      <c r="M659">
        <v>1</v>
      </c>
      <c r="N659">
        <v>0.60578037929707518</v>
      </c>
    </row>
    <row r="660" spans="12:14" x14ac:dyDescent="0.3">
      <c r="L660">
        <v>648</v>
      </c>
      <c r="M660">
        <v>0</v>
      </c>
      <c r="N660">
        <v>0.91803575243091962</v>
      </c>
    </row>
    <row r="661" spans="12:14" x14ac:dyDescent="0.3">
      <c r="L661">
        <v>649</v>
      </c>
      <c r="M661">
        <v>1</v>
      </c>
      <c r="N661">
        <v>0.68216536415442663</v>
      </c>
    </row>
    <row r="662" spans="12:14" x14ac:dyDescent="0.3">
      <c r="L662">
        <v>650</v>
      </c>
      <c r="M662">
        <v>1</v>
      </c>
      <c r="N662">
        <v>0.93959500516423611</v>
      </c>
    </row>
    <row r="663" spans="12:14" x14ac:dyDescent="0.3">
      <c r="L663">
        <v>651</v>
      </c>
      <c r="M663">
        <v>1</v>
      </c>
      <c r="N663">
        <v>0.6350131626277522</v>
      </c>
    </row>
    <row r="664" spans="12:14" x14ac:dyDescent="0.3">
      <c r="L664">
        <v>652</v>
      </c>
      <c r="M664">
        <v>1</v>
      </c>
      <c r="N664">
        <v>0.3143481020897359</v>
      </c>
    </row>
    <row r="665" spans="12:14" x14ac:dyDescent="0.3">
      <c r="L665">
        <v>653</v>
      </c>
      <c r="M665">
        <v>1</v>
      </c>
      <c r="N665">
        <v>0.82941293070851363</v>
      </c>
    </row>
    <row r="666" spans="12:14" x14ac:dyDescent="0.3">
      <c r="L666">
        <v>654</v>
      </c>
      <c r="M666">
        <v>1</v>
      </c>
      <c r="N666">
        <v>0.55015307579105022</v>
      </c>
    </row>
    <row r="667" spans="12:14" x14ac:dyDescent="0.3">
      <c r="L667">
        <v>655</v>
      </c>
      <c r="M667">
        <v>1</v>
      </c>
      <c r="N667">
        <v>0.81644530203296939</v>
      </c>
    </row>
    <row r="668" spans="12:14" x14ac:dyDescent="0.3">
      <c r="L668">
        <v>656</v>
      </c>
      <c r="M668">
        <v>1</v>
      </c>
      <c r="N668">
        <v>0.49086183752550716</v>
      </c>
    </row>
    <row r="669" spans="12:14" x14ac:dyDescent="0.3">
      <c r="L669">
        <v>657</v>
      </c>
      <c r="M669">
        <v>1</v>
      </c>
      <c r="N669">
        <v>0.46195952613075697</v>
      </c>
    </row>
    <row r="670" spans="12:14" x14ac:dyDescent="0.3">
      <c r="L670">
        <v>658</v>
      </c>
      <c r="M670">
        <v>0</v>
      </c>
      <c r="N670">
        <v>0.47975940473143763</v>
      </c>
    </row>
    <row r="671" spans="12:14" x14ac:dyDescent="0.3">
      <c r="L671">
        <v>659</v>
      </c>
      <c r="M671">
        <v>1</v>
      </c>
      <c r="N671">
        <v>0.49171025641843835</v>
      </c>
    </row>
    <row r="672" spans="12:14" x14ac:dyDescent="0.3">
      <c r="L672">
        <v>660</v>
      </c>
      <c r="M672">
        <v>1</v>
      </c>
      <c r="N672">
        <v>0.40005083282011433</v>
      </c>
    </row>
    <row r="673" spans="12:14" x14ac:dyDescent="0.3">
      <c r="L673">
        <v>661</v>
      </c>
      <c r="M673">
        <v>1</v>
      </c>
      <c r="N673">
        <v>0.2245417192500489</v>
      </c>
    </row>
    <row r="674" spans="12:14" x14ac:dyDescent="0.3">
      <c r="L674">
        <v>662</v>
      </c>
      <c r="M674">
        <v>1</v>
      </c>
      <c r="N674">
        <v>0.84200999015223044</v>
      </c>
    </row>
    <row r="675" spans="12:14" x14ac:dyDescent="0.3">
      <c r="L675">
        <v>663</v>
      </c>
      <c r="M675">
        <v>1</v>
      </c>
      <c r="N675">
        <v>0.9056105138986158</v>
      </c>
    </row>
    <row r="676" spans="12:14" x14ac:dyDescent="0.3">
      <c r="L676">
        <v>664</v>
      </c>
      <c r="M676">
        <v>1</v>
      </c>
      <c r="N676">
        <v>0.52732267714567027</v>
      </c>
    </row>
    <row r="677" spans="12:14" x14ac:dyDescent="0.3">
      <c r="L677">
        <v>665</v>
      </c>
      <c r="M677">
        <v>1</v>
      </c>
      <c r="N677">
        <v>0.7458009782552194</v>
      </c>
    </row>
    <row r="678" spans="12:14" x14ac:dyDescent="0.3">
      <c r="L678">
        <v>666</v>
      </c>
      <c r="M678">
        <v>0</v>
      </c>
      <c r="N678">
        <v>0.59706064593073482</v>
      </c>
    </row>
    <row r="679" spans="12:14" x14ac:dyDescent="0.3">
      <c r="L679">
        <v>667</v>
      </c>
      <c r="M679">
        <v>1</v>
      </c>
      <c r="N679">
        <v>0.75087759785352903</v>
      </c>
    </row>
    <row r="680" spans="12:14" x14ac:dyDescent="0.3">
      <c r="L680">
        <v>668</v>
      </c>
      <c r="M680">
        <v>0</v>
      </c>
      <c r="N680">
        <v>0.94736636628217674</v>
      </c>
    </row>
    <row r="681" spans="12:14" x14ac:dyDescent="0.3">
      <c r="L681">
        <v>669</v>
      </c>
      <c r="M681">
        <v>1</v>
      </c>
      <c r="N681">
        <v>0.56727548873367861</v>
      </c>
    </row>
    <row r="682" spans="12:14" x14ac:dyDescent="0.3">
      <c r="L682">
        <v>670</v>
      </c>
      <c r="M682">
        <v>1</v>
      </c>
      <c r="N682">
        <v>0.31035294666613683</v>
      </c>
    </row>
    <row r="683" spans="12:14" x14ac:dyDescent="0.3">
      <c r="L683">
        <v>671</v>
      </c>
      <c r="M683">
        <v>1</v>
      </c>
      <c r="N683">
        <v>0.48372213737460995</v>
      </c>
    </row>
    <row r="684" spans="12:14" x14ac:dyDescent="0.3">
      <c r="L684">
        <v>672</v>
      </c>
      <c r="M684">
        <v>0</v>
      </c>
      <c r="N684">
        <v>0.4323648816087392</v>
      </c>
    </row>
    <row r="685" spans="12:14" x14ac:dyDescent="0.3">
      <c r="L685">
        <v>673</v>
      </c>
      <c r="M685">
        <v>0</v>
      </c>
      <c r="N685">
        <v>0.84850636122886014</v>
      </c>
    </row>
    <row r="686" spans="12:14" x14ac:dyDescent="0.3">
      <c r="L686">
        <v>674</v>
      </c>
      <c r="M686">
        <v>0</v>
      </c>
      <c r="N686">
        <v>0.8414707386125756</v>
      </c>
    </row>
    <row r="687" spans="12:14" x14ac:dyDescent="0.3">
      <c r="L687">
        <v>675</v>
      </c>
      <c r="M687">
        <v>1</v>
      </c>
      <c r="N687">
        <v>0.5904931242849254</v>
      </c>
    </row>
    <row r="688" spans="12:14" x14ac:dyDescent="0.3">
      <c r="L688">
        <v>676</v>
      </c>
      <c r="M688">
        <v>1</v>
      </c>
      <c r="N688">
        <v>0.47340063275172206</v>
      </c>
    </row>
    <row r="689" spans="12:14" x14ac:dyDescent="0.3">
      <c r="L689">
        <v>677</v>
      </c>
      <c r="M689">
        <v>1</v>
      </c>
      <c r="N689">
        <v>0.65975833845993925</v>
      </c>
    </row>
    <row r="690" spans="12:14" x14ac:dyDescent="0.3">
      <c r="L690">
        <v>678</v>
      </c>
      <c r="M690">
        <v>1</v>
      </c>
      <c r="N690">
        <v>0.77295810115555708</v>
      </c>
    </row>
    <row r="691" spans="12:14" x14ac:dyDescent="0.3">
      <c r="L691">
        <v>679</v>
      </c>
      <c r="M691">
        <v>1</v>
      </c>
      <c r="N691">
        <v>0.90246533967633757</v>
      </c>
    </row>
    <row r="692" spans="12:14" x14ac:dyDescent="0.3">
      <c r="L692">
        <v>680</v>
      </c>
      <c r="M692">
        <v>0</v>
      </c>
      <c r="N692">
        <v>0.36256202396406656</v>
      </c>
    </row>
    <row r="693" spans="12:14" x14ac:dyDescent="0.3">
      <c r="L693">
        <v>681</v>
      </c>
      <c r="M693">
        <v>0</v>
      </c>
      <c r="N693">
        <v>0.81645649886889138</v>
      </c>
    </row>
    <row r="694" spans="12:14" x14ac:dyDescent="0.3">
      <c r="L694">
        <v>682</v>
      </c>
      <c r="M694">
        <v>1</v>
      </c>
      <c r="N694">
        <v>0.878288171934274</v>
      </c>
    </row>
    <row r="695" spans="12:14" x14ac:dyDescent="0.3">
      <c r="L695">
        <v>683</v>
      </c>
      <c r="M695">
        <v>0</v>
      </c>
      <c r="N695">
        <v>0.91790452848248849</v>
      </c>
    </row>
    <row r="696" spans="12:14" x14ac:dyDescent="0.3">
      <c r="L696">
        <v>684</v>
      </c>
      <c r="M696">
        <v>1</v>
      </c>
      <c r="N696">
        <v>0.54535888489291273</v>
      </c>
    </row>
    <row r="697" spans="12:14" x14ac:dyDescent="0.3">
      <c r="L697">
        <v>685</v>
      </c>
      <c r="M697">
        <v>1</v>
      </c>
      <c r="N697">
        <v>0.80148221018033028</v>
      </c>
    </row>
    <row r="698" spans="12:14" x14ac:dyDescent="0.3">
      <c r="L698">
        <v>686</v>
      </c>
      <c r="M698">
        <v>0</v>
      </c>
      <c r="N698">
        <v>0.89131898424765632</v>
      </c>
    </row>
    <row r="699" spans="12:14" x14ac:dyDescent="0.3">
      <c r="L699">
        <v>687</v>
      </c>
      <c r="M699">
        <v>1</v>
      </c>
      <c r="N699">
        <v>0.43053159971959221</v>
      </c>
    </row>
    <row r="700" spans="12:14" x14ac:dyDescent="0.3">
      <c r="L700">
        <v>688</v>
      </c>
      <c r="M700">
        <v>0</v>
      </c>
      <c r="N700">
        <v>0.86514124075625209</v>
      </c>
    </row>
    <row r="701" spans="12:14" x14ac:dyDescent="0.3">
      <c r="L701">
        <v>689</v>
      </c>
      <c r="M701">
        <v>1</v>
      </c>
      <c r="N701">
        <v>0.84535886477232614</v>
      </c>
    </row>
    <row r="702" spans="12:14" x14ac:dyDescent="0.3">
      <c r="L702">
        <v>690</v>
      </c>
      <c r="M702">
        <v>1</v>
      </c>
      <c r="N702">
        <v>0.43011816166246369</v>
      </c>
    </row>
    <row r="703" spans="12:14" x14ac:dyDescent="0.3">
      <c r="L703">
        <v>691</v>
      </c>
      <c r="M703">
        <v>1</v>
      </c>
      <c r="N703">
        <v>0.32894901531197401</v>
      </c>
    </row>
    <row r="704" spans="12:14" x14ac:dyDescent="0.3">
      <c r="L704">
        <v>692</v>
      </c>
      <c r="M704">
        <v>0</v>
      </c>
      <c r="N704">
        <v>0.49100068820289561</v>
      </c>
    </row>
    <row r="705" spans="12:14" x14ac:dyDescent="0.3">
      <c r="L705">
        <v>693</v>
      </c>
      <c r="M705">
        <v>1</v>
      </c>
      <c r="N705">
        <v>0.83100178839270478</v>
      </c>
    </row>
    <row r="706" spans="12:14" x14ac:dyDescent="0.3">
      <c r="L706">
        <v>694</v>
      </c>
      <c r="M706">
        <v>1</v>
      </c>
      <c r="N706">
        <v>0.93369726293797661</v>
      </c>
    </row>
    <row r="707" spans="12:14" x14ac:dyDescent="0.3">
      <c r="L707">
        <v>695</v>
      </c>
      <c r="M707">
        <v>1</v>
      </c>
      <c r="N707">
        <v>0.40246467587890017</v>
      </c>
    </row>
    <row r="708" spans="12:14" x14ac:dyDescent="0.3">
      <c r="L708">
        <v>696</v>
      </c>
      <c r="M708">
        <v>0</v>
      </c>
      <c r="N708">
        <v>0.94530392906678584</v>
      </c>
    </row>
    <row r="709" spans="12:14" x14ac:dyDescent="0.3">
      <c r="L709">
        <v>697</v>
      </c>
      <c r="M709">
        <v>1</v>
      </c>
      <c r="N709">
        <v>0.93977969649160387</v>
      </c>
    </row>
    <row r="710" spans="12:14" x14ac:dyDescent="0.3">
      <c r="L710">
        <v>698</v>
      </c>
      <c r="M710">
        <v>1</v>
      </c>
      <c r="N710">
        <v>0.68202278914865233</v>
      </c>
    </row>
    <row r="711" spans="12:14" x14ac:dyDescent="0.3">
      <c r="L711">
        <v>699</v>
      </c>
      <c r="M711">
        <v>1</v>
      </c>
      <c r="N711">
        <v>0.92059447626923485</v>
      </c>
    </row>
    <row r="712" spans="12:14" x14ac:dyDescent="0.3">
      <c r="L712">
        <v>700</v>
      </c>
      <c r="M712">
        <v>1</v>
      </c>
      <c r="N712">
        <v>0.68945386759323102</v>
      </c>
    </row>
    <row r="713" spans="12:14" x14ac:dyDescent="0.3">
      <c r="L713">
        <v>701</v>
      </c>
      <c r="M713">
        <v>1</v>
      </c>
      <c r="N713">
        <v>0.76142664414588757</v>
      </c>
    </row>
    <row r="714" spans="12:14" x14ac:dyDescent="0.3">
      <c r="L714">
        <v>702</v>
      </c>
      <c r="M714">
        <v>1</v>
      </c>
      <c r="N714">
        <v>0.97340225093248522</v>
      </c>
    </row>
    <row r="715" spans="12:14" x14ac:dyDescent="0.3">
      <c r="L715">
        <v>703</v>
      </c>
      <c r="M715">
        <v>1</v>
      </c>
      <c r="N715">
        <v>0.85695173845346551</v>
      </c>
    </row>
    <row r="716" spans="12:14" x14ac:dyDescent="0.3">
      <c r="L716">
        <v>704</v>
      </c>
      <c r="M716">
        <v>1</v>
      </c>
      <c r="N716">
        <v>0.76247730148819426</v>
      </c>
    </row>
    <row r="717" spans="12:14" x14ac:dyDescent="0.3">
      <c r="L717">
        <v>705</v>
      </c>
      <c r="M717">
        <v>0</v>
      </c>
      <c r="N717">
        <v>0.3131526479722086</v>
      </c>
    </row>
    <row r="718" spans="12:14" x14ac:dyDescent="0.3">
      <c r="L718">
        <v>706</v>
      </c>
      <c r="M718">
        <v>1</v>
      </c>
      <c r="N718">
        <v>0.45816304776506811</v>
      </c>
    </row>
    <row r="719" spans="12:14" x14ac:dyDescent="0.3">
      <c r="L719">
        <v>707</v>
      </c>
      <c r="M719">
        <v>1</v>
      </c>
      <c r="N719">
        <v>0.95202222137483061</v>
      </c>
    </row>
    <row r="720" spans="12:14" x14ac:dyDescent="0.3">
      <c r="L720">
        <v>708</v>
      </c>
      <c r="M720">
        <v>1</v>
      </c>
      <c r="N720">
        <v>0.78925127304478992</v>
      </c>
    </row>
    <row r="721" spans="12:14" x14ac:dyDescent="0.3">
      <c r="L721">
        <v>709</v>
      </c>
      <c r="M721">
        <v>1</v>
      </c>
      <c r="N721">
        <v>0.36311251878395995</v>
      </c>
    </row>
    <row r="722" spans="12:14" x14ac:dyDescent="0.3">
      <c r="L722">
        <v>710</v>
      </c>
      <c r="M722">
        <v>1</v>
      </c>
      <c r="N722">
        <v>0.75480407995759902</v>
      </c>
    </row>
    <row r="723" spans="12:14" x14ac:dyDescent="0.3">
      <c r="L723">
        <v>711</v>
      </c>
      <c r="M723">
        <v>1</v>
      </c>
      <c r="N723">
        <v>0.59061622400295344</v>
      </c>
    </row>
    <row r="724" spans="12:14" x14ac:dyDescent="0.3">
      <c r="L724">
        <v>712</v>
      </c>
      <c r="M724">
        <v>1</v>
      </c>
      <c r="N724">
        <v>0.18984904458252358</v>
      </c>
    </row>
    <row r="725" spans="12:14" x14ac:dyDescent="0.3">
      <c r="L725">
        <v>713</v>
      </c>
      <c r="M725">
        <v>1</v>
      </c>
      <c r="N725">
        <v>0.39385310594552037</v>
      </c>
    </row>
    <row r="726" spans="12:14" x14ac:dyDescent="0.3">
      <c r="L726">
        <v>714</v>
      </c>
      <c r="M726">
        <v>1</v>
      </c>
      <c r="N726">
        <v>0.80985522170539981</v>
      </c>
    </row>
    <row r="727" spans="12:14" x14ac:dyDescent="0.3">
      <c r="L727">
        <v>715</v>
      </c>
      <c r="M727">
        <v>1</v>
      </c>
      <c r="N727">
        <v>0.90133673675416115</v>
      </c>
    </row>
    <row r="728" spans="12:14" x14ac:dyDescent="0.3">
      <c r="L728">
        <v>716</v>
      </c>
      <c r="M728">
        <v>1</v>
      </c>
      <c r="N728">
        <v>0.9396432135265681</v>
      </c>
    </row>
    <row r="729" spans="12:14" x14ac:dyDescent="0.3">
      <c r="L729">
        <v>717</v>
      </c>
      <c r="M729">
        <v>1</v>
      </c>
      <c r="N729">
        <v>0.92991653173809852</v>
      </c>
    </row>
    <row r="730" spans="12:14" x14ac:dyDescent="0.3">
      <c r="L730">
        <v>718</v>
      </c>
      <c r="M730">
        <v>0</v>
      </c>
      <c r="N730">
        <v>0.8212599184763727</v>
      </c>
    </row>
    <row r="731" spans="12:14" x14ac:dyDescent="0.3">
      <c r="L731">
        <v>719</v>
      </c>
      <c r="M731">
        <v>1</v>
      </c>
      <c r="N731">
        <v>0.59044871993875536</v>
      </c>
    </row>
    <row r="732" spans="12:14" x14ac:dyDescent="0.3">
      <c r="L732">
        <v>720</v>
      </c>
      <c r="M732">
        <v>1</v>
      </c>
      <c r="N732">
        <v>0.83303275375019825</v>
      </c>
    </row>
    <row r="733" spans="12:14" x14ac:dyDescent="0.3">
      <c r="L733">
        <v>721</v>
      </c>
      <c r="M733">
        <v>0</v>
      </c>
      <c r="N733">
        <v>0.42558288253501669</v>
      </c>
    </row>
    <row r="734" spans="12:14" x14ac:dyDescent="0.3">
      <c r="L734">
        <v>722</v>
      </c>
      <c r="M734">
        <v>0</v>
      </c>
      <c r="N734">
        <v>0.33699196954096977</v>
      </c>
    </row>
    <row r="735" spans="12:14" x14ac:dyDescent="0.3">
      <c r="L735">
        <v>723</v>
      </c>
      <c r="M735">
        <v>0</v>
      </c>
      <c r="N735">
        <v>0.55618467718973408</v>
      </c>
    </row>
    <row r="736" spans="12:14" x14ac:dyDescent="0.3">
      <c r="L736">
        <v>724</v>
      </c>
      <c r="M736">
        <v>1</v>
      </c>
      <c r="N736">
        <v>0.89625230524838873</v>
      </c>
    </row>
    <row r="737" spans="12:14" x14ac:dyDescent="0.3">
      <c r="L737">
        <v>725</v>
      </c>
      <c r="M737">
        <v>1</v>
      </c>
      <c r="N737">
        <v>0.7910909057656853</v>
      </c>
    </row>
    <row r="738" spans="12:14" x14ac:dyDescent="0.3">
      <c r="L738">
        <v>726</v>
      </c>
      <c r="M738">
        <v>1</v>
      </c>
      <c r="N738">
        <v>0.65142932811683141</v>
      </c>
    </row>
    <row r="739" spans="12:14" x14ac:dyDescent="0.3">
      <c r="L739">
        <v>727</v>
      </c>
      <c r="M739">
        <v>1</v>
      </c>
      <c r="N739">
        <v>0.58362275044686607</v>
      </c>
    </row>
    <row r="740" spans="12:14" x14ac:dyDescent="0.3">
      <c r="L740">
        <v>728</v>
      </c>
      <c r="M740">
        <v>1</v>
      </c>
      <c r="N740">
        <v>0.73951747571746329</v>
      </c>
    </row>
    <row r="741" spans="12:14" x14ac:dyDescent="0.3">
      <c r="L741">
        <v>729</v>
      </c>
      <c r="M741">
        <v>1</v>
      </c>
      <c r="N741">
        <v>0.60896831172101051</v>
      </c>
    </row>
    <row r="742" spans="12:14" x14ac:dyDescent="0.3">
      <c r="L742">
        <v>730</v>
      </c>
      <c r="M742">
        <v>1</v>
      </c>
      <c r="N742">
        <v>0.29301724153262365</v>
      </c>
    </row>
    <row r="743" spans="12:14" x14ac:dyDescent="0.3">
      <c r="L743">
        <v>731</v>
      </c>
      <c r="M743">
        <v>1</v>
      </c>
      <c r="N743">
        <v>0.8084083574456834</v>
      </c>
    </row>
    <row r="744" spans="12:14" x14ac:dyDescent="0.3">
      <c r="L744">
        <v>732</v>
      </c>
      <c r="M744">
        <v>0</v>
      </c>
      <c r="N744">
        <v>0.89954417429574407</v>
      </c>
    </row>
    <row r="745" spans="12:14" x14ac:dyDescent="0.3">
      <c r="L745">
        <v>733</v>
      </c>
      <c r="M745">
        <v>1</v>
      </c>
      <c r="N745">
        <v>0.67036927027639104</v>
      </c>
    </row>
    <row r="746" spans="12:14" x14ac:dyDescent="0.3">
      <c r="L746">
        <v>734</v>
      </c>
      <c r="M746">
        <v>1</v>
      </c>
      <c r="N746">
        <v>0.88119141025056535</v>
      </c>
    </row>
    <row r="747" spans="12:14" x14ac:dyDescent="0.3">
      <c r="L747">
        <v>735</v>
      </c>
      <c r="M747">
        <v>1</v>
      </c>
      <c r="N747">
        <v>0.75446490326101534</v>
      </c>
    </row>
    <row r="748" spans="12:14" x14ac:dyDescent="0.3">
      <c r="L748">
        <v>736</v>
      </c>
      <c r="M748">
        <v>0</v>
      </c>
      <c r="N748">
        <v>0.84877907458108548</v>
      </c>
    </row>
    <row r="749" spans="12:14" x14ac:dyDescent="0.3">
      <c r="L749">
        <v>737</v>
      </c>
      <c r="M749">
        <v>1</v>
      </c>
      <c r="N749">
        <v>0.7520222576048613</v>
      </c>
    </row>
    <row r="750" spans="12:14" x14ac:dyDescent="0.3">
      <c r="L750">
        <v>738</v>
      </c>
      <c r="M750">
        <v>1</v>
      </c>
      <c r="N750">
        <v>0.55876199458592801</v>
      </c>
    </row>
    <row r="751" spans="12:14" x14ac:dyDescent="0.3">
      <c r="L751">
        <v>739</v>
      </c>
      <c r="M751">
        <v>0</v>
      </c>
      <c r="N751">
        <v>0.984956067905571</v>
      </c>
    </row>
    <row r="752" spans="12:14" x14ac:dyDescent="0.3">
      <c r="L752">
        <v>740</v>
      </c>
      <c r="M752">
        <v>1</v>
      </c>
      <c r="N752">
        <v>0.90794361149359371</v>
      </c>
    </row>
    <row r="753" spans="12:14" x14ac:dyDescent="0.3">
      <c r="L753">
        <v>741</v>
      </c>
      <c r="M753">
        <v>1</v>
      </c>
      <c r="N753">
        <v>0.70730035170332917</v>
      </c>
    </row>
    <row r="754" spans="12:14" x14ac:dyDescent="0.3">
      <c r="L754">
        <v>742</v>
      </c>
      <c r="M754">
        <v>0</v>
      </c>
      <c r="N754">
        <v>0.85706363893474069</v>
      </c>
    </row>
    <row r="755" spans="12:14" x14ac:dyDescent="0.3">
      <c r="L755">
        <v>743</v>
      </c>
      <c r="M755">
        <v>1</v>
      </c>
      <c r="N755">
        <v>0.76083368128955864</v>
      </c>
    </row>
    <row r="756" spans="12:14" x14ac:dyDescent="0.3">
      <c r="L756">
        <v>744</v>
      </c>
      <c r="M756">
        <v>1</v>
      </c>
      <c r="N756">
        <v>0.82390491668226062</v>
      </c>
    </row>
    <row r="757" spans="12:14" x14ac:dyDescent="0.3">
      <c r="L757">
        <v>745</v>
      </c>
      <c r="M757">
        <v>0</v>
      </c>
      <c r="N757">
        <v>0.90724730820287658</v>
      </c>
    </row>
    <row r="758" spans="12:14" x14ac:dyDescent="0.3">
      <c r="L758">
        <v>746</v>
      </c>
      <c r="M758">
        <v>1</v>
      </c>
      <c r="N758">
        <v>0.53505336014355764</v>
      </c>
    </row>
    <row r="759" spans="12:14" x14ac:dyDescent="0.3">
      <c r="L759">
        <v>747</v>
      </c>
      <c r="M759">
        <v>0</v>
      </c>
      <c r="N759">
        <v>0.89604398797223495</v>
      </c>
    </row>
    <row r="760" spans="12:14" x14ac:dyDescent="0.3">
      <c r="L760">
        <v>748</v>
      </c>
      <c r="M760">
        <v>1</v>
      </c>
      <c r="N760">
        <v>0.63218628796380427</v>
      </c>
    </row>
    <row r="761" spans="12:14" x14ac:dyDescent="0.3">
      <c r="L761">
        <v>749</v>
      </c>
      <c r="M761">
        <v>1</v>
      </c>
      <c r="N761">
        <v>0.86407511417055449</v>
      </c>
    </row>
    <row r="762" spans="12:14" x14ac:dyDescent="0.3">
      <c r="L762">
        <v>750</v>
      </c>
      <c r="M762">
        <v>0</v>
      </c>
      <c r="N762">
        <v>0.33499770621895808</v>
      </c>
    </row>
    <row r="763" spans="12:14" x14ac:dyDescent="0.3">
      <c r="L763">
        <v>751</v>
      </c>
      <c r="M763">
        <v>1</v>
      </c>
      <c r="N763">
        <v>0.66273514881616868</v>
      </c>
    </row>
    <row r="764" spans="12:14" x14ac:dyDescent="0.3">
      <c r="L764">
        <v>752</v>
      </c>
      <c r="M764">
        <v>1</v>
      </c>
      <c r="N764">
        <v>0.254599036685703</v>
      </c>
    </row>
    <row r="765" spans="12:14" x14ac:dyDescent="0.3">
      <c r="L765">
        <v>753</v>
      </c>
      <c r="M765">
        <v>1</v>
      </c>
      <c r="N765">
        <v>0.74434281009766023</v>
      </c>
    </row>
    <row r="766" spans="12:14" x14ac:dyDescent="0.3">
      <c r="L766">
        <v>754</v>
      </c>
      <c r="M766">
        <v>1</v>
      </c>
      <c r="N766">
        <v>0.51346485404817399</v>
      </c>
    </row>
    <row r="767" spans="12:14" x14ac:dyDescent="0.3">
      <c r="L767">
        <v>755</v>
      </c>
      <c r="M767">
        <v>1</v>
      </c>
      <c r="N767">
        <v>0.39221894905762089</v>
      </c>
    </row>
    <row r="768" spans="12:14" x14ac:dyDescent="0.3">
      <c r="L768">
        <v>756</v>
      </c>
      <c r="M768">
        <v>1</v>
      </c>
      <c r="N768">
        <v>0.58780689553482213</v>
      </c>
    </row>
    <row r="769" spans="12:14" x14ac:dyDescent="0.3">
      <c r="L769">
        <v>757</v>
      </c>
      <c r="M769">
        <v>0</v>
      </c>
      <c r="N769">
        <v>0.90363586922874739</v>
      </c>
    </row>
    <row r="770" spans="12:14" x14ac:dyDescent="0.3">
      <c r="L770">
        <v>758</v>
      </c>
      <c r="M770">
        <v>0</v>
      </c>
      <c r="N770">
        <v>0.81969745030705865</v>
      </c>
    </row>
    <row r="771" spans="12:14" x14ac:dyDescent="0.3">
      <c r="L771">
        <v>759</v>
      </c>
      <c r="M771">
        <v>1</v>
      </c>
      <c r="N771">
        <v>0.84884863857669424</v>
      </c>
    </row>
    <row r="772" spans="12:14" x14ac:dyDescent="0.3">
      <c r="L772">
        <v>760</v>
      </c>
      <c r="M772">
        <v>1</v>
      </c>
      <c r="N772">
        <v>0.84998705654398699</v>
      </c>
    </row>
    <row r="773" spans="12:14" x14ac:dyDescent="0.3">
      <c r="L773">
        <v>761</v>
      </c>
      <c r="M773">
        <v>0</v>
      </c>
      <c r="N773">
        <v>0.84100690910644627</v>
      </c>
    </row>
    <row r="774" spans="12:14" x14ac:dyDescent="0.3">
      <c r="L774">
        <v>762</v>
      </c>
      <c r="M774">
        <v>1</v>
      </c>
      <c r="N774">
        <v>0.52038816122068288</v>
      </c>
    </row>
    <row r="775" spans="12:14" x14ac:dyDescent="0.3">
      <c r="L775">
        <v>763</v>
      </c>
      <c r="M775">
        <v>1</v>
      </c>
      <c r="N775">
        <v>0.56927972269386229</v>
      </c>
    </row>
    <row r="776" spans="12:14" x14ac:dyDescent="0.3">
      <c r="L776">
        <v>764</v>
      </c>
      <c r="M776">
        <v>1</v>
      </c>
      <c r="N776">
        <v>0.61520332516619491</v>
      </c>
    </row>
    <row r="777" spans="12:14" x14ac:dyDescent="0.3">
      <c r="L777">
        <v>765</v>
      </c>
      <c r="M777">
        <v>1</v>
      </c>
      <c r="N777">
        <v>0.72038293982695256</v>
      </c>
    </row>
    <row r="778" spans="12:14" x14ac:dyDescent="0.3">
      <c r="L778">
        <v>766</v>
      </c>
      <c r="M778">
        <v>0</v>
      </c>
      <c r="N778">
        <v>0.96797935563948312</v>
      </c>
    </row>
    <row r="779" spans="12:14" x14ac:dyDescent="0.3">
      <c r="L779">
        <v>767</v>
      </c>
      <c r="M779">
        <v>1</v>
      </c>
      <c r="N779">
        <v>0.57188971761650931</v>
      </c>
    </row>
    <row r="780" spans="12:14" x14ac:dyDescent="0.3">
      <c r="L780">
        <v>768</v>
      </c>
      <c r="M780">
        <v>0</v>
      </c>
      <c r="N780">
        <v>0.84823650150395169</v>
      </c>
    </row>
    <row r="781" spans="12:14" x14ac:dyDescent="0.3">
      <c r="L781">
        <v>769</v>
      </c>
      <c r="M781">
        <v>1</v>
      </c>
      <c r="N781">
        <v>0.95514606557373805</v>
      </c>
    </row>
    <row r="782" spans="12:14" x14ac:dyDescent="0.3">
      <c r="L782">
        <v>770</v>
      </c>
      <c r="M782">
        <v>1</v>
      </c>
      <c r="N782">
        <v>0.64059960262836335</v>
      </c>
    </row>
    <row r="783" spans="12:14" x14ac:dyDescent="0.3">
      <c r="L783">
        <v>771</v>
      </c>
      <c r="M783">
        <v>1</v>
      </c>
      <c r="N783">
        <v>0.84499125084484306</v>
      </c>
    </row>
    <row r="784" spans="12:14" x14ac:dyDescent="0.3">
      <c r="L784">
        <v>772</v>
      </c>
      <c r="M784">
        <v>1</v>
      </c>
      <c r="N784">
        <v>0.89852141034816424</v>
      </c>
    </row>
    <row r="785" spans="12:14" x14ac:dyDescent="0.3">
      <c r="L785">
        <v>773</v>
      </c>
      <c r="M785">
        <v>0</v>
      </c>
      <c r="N785">
        <v>0.82920372106354934</v>
      </c>
    </row>
    <row r="786" spans="12:14" x14ac:dyDescent="0.3">
      <c r="L786">
        <v>774</v>
      </c>
      <c r="M786">
        <v>0</v>
      </c>
      <c r="N786">
        <v>0.42044997185375371</v>
      </c>
    </row>
    <row r="787" spans="12:14" x14ac:dyDescent="0.3">
      <c r="L787">
        <v>775</v>
      </c>
      <c r="M787">
        <v>1</v>
      </c>
      <c r="N787">
        <v>0.79081055318355076</v>
      </c>
    </row>
    <row r="788" spans="12:14" x14ac:dyDescent="0.3">
      <c r="L788">
        <v>776</v>
      </c>
      <c r="M788">
        <v>1</v>
      </c>
      <c r="N788">
        <v>0.5447426216307647</v>
      </c>
    </row>
    <row r="789" spans="12:14" x14ac:dyDescent="0.3">
      <c r="L789">
        <v>777</v>
      </c>
      <c r="M789">
        <v>1</v>
      </c>
      <c r="N789">
        <v>0.83161047558068146</v>
      </c>
    </row>
    <row r="790" spans="12:14" x14ac:dyDescent="0.3">
      <c r="L790">
        <v>778</v>
      </c>
      <c r="M790">
        <v>1</v>
      </c>
      <c r="N790">
        <v>0.4705045804378778</v>
      </c>
    </row>
    <row r="791" spans="12:14" x14ac:dyDescent="0.3">
      <c r="L791">
        <v>779</v>
      </c>
      <c r="M791">
        <v>1</v>
      </c>
      <c r="N791">
        <v>0.69556539983310506</v>
      </c>
    </row>
    <row r="792" spans="12:14" x14ac:dyDescent="0.3">
      <c r="L792">
        <v>780</v>
      </c>
      <c r="M792">
        <v>1</v>
      </c>
      <c r="N792">
        <v>0.75161145513270577</v>
      </c>
    </row>
    <row r="793" spans="12:14" x14ac:dyDescent="0.3">
      <c r="L793">
        <v>781</v>
      </c>
      <c r="M793">
        <v>1</v>
      </c>
      <c r="N793">
        <v>0.66485231498126329</v>
      </c>
    </row>
    <row r="794" spans="12:14" x14ac:dyDescent="0.3">
      <c r="L794">
        <v>782</v>
      </c>
      <c r="M794">
        <v>0</v>
      </c>
      <c r="N794">
        <v>0.7845750662096258</v>
      </c>
    </row>
    <row r="795" spans="12:14" x14ac:dyDescent="0.3">
      <c r="L795">
        <v>783</v>
      </c>
      <c r="M795">
        <v>1</v>
      </c>
      <c r="N795">
        <v>0.72079492769846554</v>
      </c>
    </row>
    <row r="796" spans="12:14" x14ac:dyDescent="0.3">
      <c r="L796">
        <v>784</v>
      </c>
      <c r="M796">
        <v>0</v>
      </c>
      <c r="N796">
        <v>0.74271498497614685</v>
      </c>
    </row>
    <row r="797" spans="12:14" x14ac:dyDescent="0.3">
      <c r="L797">
        <v>785</v>
      </c>
      <c r="M797">
        <v>1</v>
      </c>
      <c r="N797">
        <v>0.8057959294078183</v>
      </c>
    </row>
    <row r="798" spans="12:14" x14ac:dyDescent="0.3">
      <c r="L798">
        <v>786</v>
      </c>
      <c r="M798">
        <v>1</v>
      </c>
      <c r="N798">
        <v>0.60487821127537622</v>
      </c>
    </row>
    <row r="799" spans="12:14" x14ac:dyDescent="0.3">
      <c r="L799">
        <v>787</v>
      </c>
      <c r="M799">
        <v>1</v>
      </c>
      <c r="N799">
        <v>0.51720563976188383</v>
      </c>
    </row>
    <row r="800" spans="12:14" x14ac:dyDescent="0.3">
      <c r="L800">
        <v>788</v>
      </c>
      <c r="M800">
        <v>1</v>
      </c>
      <c r="N800">
        <v>0.81506008742959057</v>
      </c>
    </row>
    <row r="801" spans="12:14" x14ac:dyDescent="0.3">
      <c r="L801">
        <v>789</v>
      </c>
      <c r="M801">
        <v>0</v>
      </c>
      <c r="N801">
        <v>0.91299048337615218</v>
      </c>
    </row>
    <row r="802" spans="12:14" x14ac:dyDescent="0.3">
      <c r="L802">
        <v>790</v>
      </c>
      <c r="M802">
        <v>1</v>
      </c>
      <c r="N802">
        <v>0.39829486970959882</v>
      </c>
    </row>
    <row r="803" spans="12:14" x14ac:dyDescent="0.3">
      <c r="L803">
        <v>791</v>
      </c>
      <c r="M803">
        <v>0</v>
      </c>
      <c r="N803">
        <v>0.5525650187851654</v>
      </c>
    </row>
    <row r="804" spans="12:14" x14ac:dyDescent="0.3">
      <c r="L804">
        <v>792</v>
      </c>
      <c r="M804">
        <v>0</v>
      </c>
      <c r="N804">
        <v>0.83716474019551579</v>
      </c>
    </row>
    <row r="805" spans="12:14" x14ac:dyDescent="0.3">
      <c r="L805">
        <v>793</v>
      </c>
      <c r="M805">
        <v>1</v>
      </c>
      <c r="N805">
        <v>0.35390703554513447</v>
      </c>
    </row>
    <row r="806" spans="12:14" x14ac:dyDescent="0.3">
      <c r="L806">
        <v>794</v>
      </c>
      <c r="M806">
        <v>1</v>
      </c>
      <c r="N806">
        <v>0.46807618609144835</v>
      </c>
    </row>
    <row r="807" spans="12:14" x14ac:dyDescent="0.3">
      <c r="L807">
        <v>795</v>
      </c>
      <c r="M807">
        <v>1</v>
      </c>
      <c r="N807">
        <v>0.95108484010076688</v>
      </c>
    </row>
    <row r="808" spans="12:14" x14ac:dyDescent="0.3">
      <c r="L808">
        <v>796</v>
      </c>
      <c r="M808">
        <v>1</v>
      </c>
      <c r="N808">
        <v>0.39532085833935571</v>
      </c>
    </row>
    <row r="809" spans="12:14" x14ac:dyDescent="0.3">
      <c r="L809">
        <v>797</v>
      </c>
      <c r="M809">
        <v>1</v>
      </c>
      <c r="N809">
        <v>0.55903108003755619</v>
      </c>
    </row>
    <row r="810" spans="12:14" x14ac:dyDescent="0.3">
      <c r="L810">
        <v>798</v>
      </c>
      <c r="M810">
        <v>0</v>
      </c>
      <c r="N810">
        <v>0.46814445038511832</v>
      </c>
    </row>
    <row r="811" spans="12:14" x14ac:dyDescent="0.3">
      <c r="L811">
        <v>799</v>
      </c>
      <c r="M811">
        <v>1</v>
      </c>
      <c r="N811">
        <v>0.84374994581770535</v>
      </c>
    </row>
    <row r="812" spans="12:14" x14ac:dyDescent="0.3">
      <c r="L812">
        <v>800</v>
      </c>
      <c r="M812">
        <v>1</v>
      </c>
      <c r="N812">
        <v>0.69133830439302446</v>
      </c>
    </row>
    <row r="813" spans="12:14" x14ac:dyDescent="0.3">
      <c r="L813">
        <v>801</v>
      </c>
      <c r="M813">
        <v>1</v>
      </c>
      <c r="N813">
        <v>0.82410681130388042</v>
      </c>
    </row>
    <row r="814" spans="12:14" x14ac:dyDescent="0.3">
      <c r="L814">
        <v>802</v>
      </c>
      <c r="M814">
        <v>1</v>
      </c>
      <c r="N814">
        <v>0.8429284999026917</v>
      </c>
    </row>
    <row r="815" spans="12:14" x14ac:dyDescent="0.3">
      <c r="L815">
        <v>803</v>
      </c>
      <c r="M815">
        <v>0</v>
      </c>
      <c r="N815">
        <v>0.64484751051127676</v>
      </c>
    </row>
    <row r="816" spans="12:14" x14ac:dyDescent="0.3">
      <c r="L816">
        <v>804</v>
      </c>
      <c r="M816">
        <v>1</v>
      </c>
      <c r="N816">
        <v>0.93902543258002014</v>
      </c>
    </row>
    <row r="817" spans="12:14" x14ac:dyDescent="0.3">
      <c r="L817">
        <v>805</v>
      </c>
      <c r="M817">
        <v>1</v>
      </c>
      <c r="N817">
        <v>0.70243715645527915</v>
      </c>
    </row>
    <row r="818" spans="12:14" x14ac:dyDescent="0.3">
      <c r="L818">
        <v>806</v>
      </c>
      <c r="M818">
        <v>1</v>
      </c>
      <c r="N818">
        <v>0.32002886644923573</v>
      </c>
    </row>
    <row r="819" spans="12:14" x14ac:dyDescent="0.3">
      <c r="L819">
        <v>807</v>
      </c>
      <c r="M819">
        <v>1</v>
      </c>
      <c r="N819">
        <v>0.92169753443969016</v>
      </c>
    </row>
    <row r="820" spans="12:14" x14ac:dyDescent="0.3">
      <c r="L820">
        <v>808</v>
      </c>
      <c r="M820">
        <v>1</v>
      </c>
      <c r="N820">
        <v>0.83601515973223717</v>
      </c>
    </row>
    <row r="821" spans="12:14" x14ac:dyDescent="0.3">
      <c r="L821">
        <v>809</v>
      </c>
      <c r="M821">
        <v>1</v>
      </c>
      <c r="N821">
        <v>0.69154668038420841</v>
      </c>
    </row>
    <row r="822" spans="12:14" x14ac:dyDescent="0.3">
      <c r="L822">
        <v>810</v>
      </c>
      <c r="M822">
        <v>1</v>
      </c>
      <c r="N822">
        <v>0.94549613859307358</v>
      </c>
    </row>
    <row r="823" spans="12:14" x14ac:dyDescent="0.3">
      <c r="L823">
        <v>811</v>
      </c>
      <c r="M823">
        <v>0</v>
      </c>
      <c r="N823">
        <v>0.82467974151992685</v>
      </c>
    </row>
    <row r="824" spans="12:14" x14ac:dyDescent="0.3">
      <c r="L824">
        <v>812</v>
      </c>
      <c r="M824">
        <v>1</v>
      </c>
      <c r="N824">
        <v>0.82095967636881995</v>
      </c>
    </row>
    <row r="825" spans="12:14" x14ac:dyDescent="0.3">
      <c r="L825">
        <v>813</v>
      </c>
      <c r="M825">
        <v>0</v>
      </c>
      <c r="N825">
        <v>0.51918764958598251</v>
      </c>
    </row>
    <row r="826" spans="12:14" x14ac:dyDescent="0.3">
      <c r="L826">
        <v>814</v>
      </c>
      <c r="M826">
        <v>1</v>
      </c>
      <c r="N826">
        <v>0.47490649443501232</v>
      </c>
    </row>
    <row r="827" spans="12:14" x14ac:dyDescent="0.3">
      <c r="L827">
        <v>815</v>
      </c>
      <c r="M827">
        <v>0</v>
      </c>
      <c r="N827">
        <v>0.3844003123238392</v>
      </c>
    </row>
    <row r="828" spans="12:14" x14ac:dyDescent="0.3">
      <c r="L828">
        <v>816</v>
      </c>
      <c r="M828">
        <v>1</v>
      </c>
      <c r="N828">
        <v>0.642470179055604</v>
      </c>
    </row>
    <row r="829" spans="12:14" x14ac:dyDescent="0.3">
      <c r="L829">
        <v>817</v>
      </c>
      <c r="M829">
        <v>1</v>
      </c>
      <c r="N829">
        <v>0.81250641301169013</v>
      </c>
    </row>
    <row r="830" spans="12:14" x14ac:dyDescent="0.3">
      <c r="L830">
        <v>818</v>
      </c>
      <c r="M830">
        <v>1</v>
      </c>
      <c r="N830">
        <v>0.89934382942903657</v>
      </c>
    </row>
    <row r="831" spans="12:14" x14ac:dyDescent="0.3">
      <c r="L831">
        <v>819</v>
      </c>
      <c r="M831">
        <v>1</v>
      </c>
      <c r="N831">
        <v>0.71283879343612011</v>
      </c>
    </row>
    <row r="832" spans="12:14" x14ac:dyDescent="0.3">
      <c r="L832">
        <v>820</v>
      </c>
      <c r="M832">
        <v>1</v>
      </c>
      <c r="N832">
        <v>0.25538603179355057</v>
      </c>
    </row>
    <row r="833" spans="12:14" x14ac:dyDescent="0.3">
      <c r="L833">
        <v>821</v>
      </c>
      <c r="M833">
        <v>1</v>
      </c>
      <c r="N833">
        <v>0.86554960471478282</v>
      </c>
    </row>
    <row r="834" spans="12:14" x14ac:dyDescent="0.3">
      <c r="L834">
        <v>822</v>
      </c>
      <c r="M834">
        <v>1</v>
      </c>
      <c r="N834">
        <v>0.79239030398127508</v>
      </c>
    </row>
    <row r="835" spans="12:14" x14ac:dyDescent="0.3">
      <c r="L835">
        <v>823</v>
      </c>
      <c r="M835">
        <v>1</v>
      </c>
      <c r="N835">
        <v>0.29769487406633877</v>
      </c>
    </row>
    <row r="836" spans="12:14" x14ac:dyDescent="0.3">
      <c r="L836">
        <v>824</v>
      </c>
      <c r="M836">
        <v>1</v>
      </c>
      <c r="N836">
        <v>0.59960374908799219</v>
      </c>
    </row>
    <row r="837" spans="12:14" x14ac:dyDescent="0.3">
      <c r="L837">
        <v>825</v>
      </c>
      <c r="M837">
        <v>1</v>
      </c>
      <c r="N837">
        <v>0.70088066398500271</v>
      </c>
    </row>
    <row r="838" spans="12:14" x14ac:dyDescent="0.3">
      <c r="L838">
        <v>826</v>
      </c>
      <c r="M838">
        <v>1</v>
      </c>
      <c r="N838">
        <v>0.71033056239489722</v>
      </c>
    </row>
    <row r="839" spans="12:14" x14ac:dyDescent="0.3">
      <c r="L839">
        <v>827</v>
      </c>
      <c r="M839">
        <v>1</v>
      </c>
      <c r="N839">
        <v>0.98216075662292657</v>
      </c>
    </row>
    <row r="840" spans="12:14" x14ac:dyDescent="0.3">
      <c r="L840">
        <v>828</v>
      </c>
      <c r="M840">
        <v>1</v>
      </c>
      <c r="N840">
        <v>0.54646672305048127</v>
      </c>
    </row>
    <row r="841" spans="12:14" x14ac:dyDescent="0.3">
      <c r="L841">
        <v>829</v>
      </c>
      <c r="M841">
        <v>1</v>
      </c>
      <c r="N841">
        <v>0.67512018638835825</v>
      </c>
    </row>
    <row r="842" spans="12:14" x14ac:dyDescent="0.3">
      <c r="L842">
        <v>830</v>
      </c>
      <c r="M842">
        <v>1</v>
      </c>
      <c r="N842">
        <v>0.44153374429256043</v>
      </c>
    </row>
    <row r="843" spans="12:14" x14ac:dyDescent="0.3">
      <c r="L843">
        <v>831</v>
      </c>
      <c r="M843">
        <v>1</v>
      </c>
      <c r="N843">
        <v>0.59361054395565538</v>
      </c>
    </row>
    <row r="844" spans="12:14" x14ac:dyDescent="0.3">
      <c r="L844">
        <v>832</v>
      </c>
      <c r="M844">
        <v>1</v>
      </c>
      <c r="N844">
        <v>0.804218843166429</v>
      </c>
    </row>
    <row r="845" spans="12:14" x14ac:dyDescent="0.3">
      <c r="L845">
        <v>833</v>
      </c>
      <c r="M845">
        <v>1</v>
      </c>
      <c r="N845">
        <v>0.85942583289302332</v>
      </c>
    </row>
    <row r="846" spans="12:14" x14ac:dyDescent="0.3">
      <c r="L846">
        <v>834</v>
      </c>
      <c r="M846">
        <v>0</v>
      </c>
      <c r="N846">
        <v>0.57685527612244647</v>
      </c>
    </row>
    <row r="847" spans="12:14" x14ac:dyDescent="0.3">
      <c r="L847">
        <v>835</v>
      </c>
      <c r="M847">
        <v>0</v>
      </c>
      <c r="N847">
        <v>0.6872559930797385</v>
      </c>
    </row>
    <row r="848" spans="12:14" x14ac:dyDescent="0.3">
      <c r="L848">
        <v>836</v>
      </c>
      <c r="M848">
        <v>1</v>
      </c>
      <c r="N848">
        <v>0.50913192236245908</v>
      </c>
    </row>
    <row r="849" spans="12:14" x14ac:dyDescent="0.3">
      <c r="L849">
        <v>837</v>
      </c>
      <c r="M849">
        <v>1</v>
      </c>
      <c r="N849">
        <v>0.56740874987806555</v>
      </c>
    </row>
    <row r="850" spans="12:14" x14ac:dyDescent="0.3">
      <c r="L850">
        <v>838</v>
      </c>
      <c r="M850">
        <v>1</v>
      </c>
      <c r="N850">
        <v>0.678287328883314</v>
      </c>
    </row>
    <row r="851" spans="12:14" x14ac:dyDescent="0.3">
      <c r="L851">
        <v>839</v>
      </c>
      <c r="M851">
        <v>1</v>
      </c>
      <c r="N851">
        <v>0.4676614401311403</v>
      </c>
    </row>
    <row r="852" spans="12:14" x14ac:dyDescent="0.3">
      <c r="L852">
        <v>840</v>
      </c>
      <c r="M852">
        <v>1</v>
      </c>
      <c r="N852">
        <v>0.65890517516510783</v>
      </c>
    </row>
    <row r="853" spans="12:14" x14ac:dyDescent="0.3">
      <c r="L853">
        <v>841</v>
      </c>
      <c r="M853">
        <v>1</v>
      </c>
      <c r="N853">
        <v>0.77062904096812201</v>
      </c>
    </row>
    <row r="854" spans="12:14" x14ac:dyDescent="0.3">
      <c r="L854">
        <v>842</v>
      </c>
      <c r="M854">
        <v>0</v>
      </c>
      <c r="N854">
        <v>0.71686192540421301</v>
      </c>
    </row>
    <row r="855" spans="12:14" x14ac:dyDescent="0.3">
      <c r="L855">
        <v>843</v>
      </c>
      <c r="M855">
        <v>0</v>
      </c>
      <c r="N855">
        <v>0.87241390177833777</v>
      </c>
    </row>
    <row r="856" spans="12:14" x14ac:dyDescent="0.3">
      <c r="L856">
        <v>844</v>
      </c>
      <c r="M856">
        <v>1</v>
      </c>
      <c r="N856">
        <v>0.39900280054643067</v>
      </c>
    </row>
    <row r="857" spans="12:14" x14ac:dyDescent="0.3">
      <c r="L857">
        <v>845</v>
      </c>
      <c r="M857">
        <v>1</v>
      </c>
      <c r="N857">
        <v>0.63146727643535472</v>
      </c>
    </row>
    <row r="858" spans="12:14" x14ac:dyDescent="0.3">
      <c r="L858">
        <v>846</v>
      </c>
      <c r="M858">
        <v>0</v>
      </c>
      <c r="N858">
        <v>0.33969275937283849</v>
      </c>
    </row>
    <row r="859" spans="12:14" x14ac:dyDescent="0.3">
      <c r="L859">
        <v>847</v>
      </c>
      <c r="M859">
        <v>1</v>
      </c>
      <c r="N859">
        <v>0.36167164193217183</v>
      </c>
    </row>
    <row r="860" spans="12:14" x14ac:dyDescent="0.3">
      <c r="L860">
        <v>848</v>
      </c>
      <c r="M860">
        <v>1</v>
      </c>
      <c r="N860">
        <v>0.36623602582800718</v>
      </c>
    </row>
    <row r="861" spans="12:14" x14ac:dyDescent="0.3">
      <c r="L861">
        <v>849</v>
      </c>
      <c r="M861">
        <v>0</v>
      </c>
      <c r="N861">
        <v>0.46533848376804576</v>
      </c>
    </row>
    <row r="862" spans="12:14" x14ac:dyDescent="0.3">
      <c r="L862">
        <v>850</v>
      </c>
      <c r="M862">
        <v>0</v>
      </c>
      <c r="N862">
        <v>0.72132531479778317</v>
      </c>
    </row>
    <row r="863" spans="12:14" x14ac:dyDescent="0.3">
      <c r="L863">
        <v>851</v>
      </c>
      <c r="M863">
        <v>0</v>
      </c>
      <c r="N863">
        <v>0.36774929309254178</v>
      </c>
    </row>
    <row r="864" spans="12:14" x14ac:dyDescent="0.3">
      <c r="L864">
        <v>852</v>
      </c>
      <c r="M864">
        <v>1</v>
      </c>
      <c r="N864">
        <v>0.30778186995485862</v>
      </c>
    </row>
    <row r="865" spans="12:14" x14ac:dyDescent="0.3">
      <c r="L865">
        <v>853</v>
      </c>
      <c r="M865">
        <v>1</v>
      </c>
      <c r="N865">
        <v>0.61247965039140007</v>
      </c>
    </row>
    <row r="866" spans="12:14" x14ac:dyDescent="0.3">
      <c r="L866">
        <v>854</v>
      </c>
      <c r="M866">
        <v>1</v>
      </c>
      <c r="N866">
        <v>0.93943346401438332</v>
      </c>
    </row>
    <row r="867" spans="12:14" x14ac:dyDescent="0.3">
      <c r="L867">
        <v>855</v>
      </c>
      <c r="M867">
        <v>0</v>
      </c>
      <c r="N867">
        <v>0.71979658744101749</v>
      </c>
    </row>
    <row r="868" spans="12:14" x14ac:dyDescent="0.3">
      <c r="L868">
        <v>856</v>
      </c>
      <c r="M868">
        <v>1</v>
      </c>
      <c r="N868">
        <v>0.33823061027408324</v>
      </c>
    </row>
    <row r="869" spans="12:14" x14ac:dyDescent="0.3">
      <c r="L869">
        <v>857</v>
      </c>
      <c r="M869">
        <v>1</v>
      </c>
      <c r="N869">
        <v>0.71960367638045519</v>
      </c>
    </row>
    <row r="870" spans="12:14" x14ac:dyDescent="0.3">
      <c r="L870">
        <v>858</v>
      </c>
      <c r="M870">
        <v>1</v>
      </c>
      <c r="N870">
        <v>0.86175949231818461</v>
      </c>
    </row>
    <row r="871" spans="12:14" x14ac:dyDescent="0.3">
      <c r="L871">
        <v>859</v>
      </c>
      <c r="M871">
        <v>1</v>
      </c>
      <c r="N871">
        <v>0.51150713128301351</v>
      </c>
    </row>
    <row r="872" spans="12:14" x14ac:dyDescent="0.3">
      <c r="L872">
        <v>860</v>
      </c>
      <c r="M872">
        <v>1</v>
      </c>
      <c r="N872">
        <v>0.92216142385194111</v>
      </c>
    </row>
    <row r="873" spans="12:14" x14ac:dyDescent="0.3">
      <c r="L873">
        <v>861</v>
      </c>
      <c r="M873">
        <v>1</v>
      </c>
      <c r="N873">
        <v>0.76836080736515566</v>
      </c>
    </row>
    <row r="874" spans="12:14" x14ac:dyDescent="0.3">
      <c r="L874">
        <v>862</v>
      </c>
      <c r="M874">
        <v>1</v>
      </c>
      <c r="N874">
        <v>0.51328609591234153</v>
      </c>
    </row>
    <row r="875" spans="12:14" x14ac:dyDescent="0.3">
      <c r="L875">
        <v>863</v>
      </c>
      <c r="M875">
        <v>1</v>
      </c>
      <c r="N875">
        <v>0.71036636387918628</v>
      </c>
    </row>
    <row r="876" spans="12:14" x14ac:dyDescent="0.3">
      <c r="L876">
        <v>864</v>
      </c>
      <c r="M876">
        <v>1</v>
      </c>
      <c r="N876">
        <v>0.7619041035361882</v>
      </c>
    </row>
    <row r="877" spans="12:14" x14ac:dyDescent="0.3">
      <c r="L877">
        <v>865</v>
      </c>
      <c r="M877">
        <v>0</v>
      </c>
      <c r="N877">
        <v>0.73770537313475271</v>
      </c>
    </row>
    <row r="878" spans="12:14" x14ac:dyDescent="0.3">
      <c r="L878">
        <v>866</v>
      </c>
      <c r="M878">
        <v>1</v>
      </c>
      <c r="N878">
        <v>0.91649639217412771</v>
      </c>
    </row>
    <row r="879" spans="12:14" x14ac:dyDescent="0.3">
      <c r="L879">
        <v>867</v>
      </c>
      <c r="M879">
        <v>1</v>
      </c>
      <c r="N879">
        <v>0.79288025723516475</v>
      </c>
    </row>
    <row r="880" spans="12:14" x14ac:dyDescent="0.3">
      <c r="L880">
        <v>868</v>
      </c>
      <c r="M880">
        <v>1</v>
      </c>
      <c r="N880">
        <v>0.82324811618991811</v>
      </c>
    </row>
    <row r="881" spans="12:14" x14ac:dyDescent="0.3">
      <c r="L881">
        <v>869</v>
      </c>
      <c r="M881">
        <v>1</v>
      </c>
      <c r="N881">
        <v>0.68293082911929937</v>
      </c>
    </row>
    <row r="882" spans="12:14" x14ac:dyDescent="0.3">
      <c r="L882">
        <v>870</v>
      </c>
      <c r="M882">
        <v>1</v>
      </c>
      <c r="N882">
        <v>0.53152823197268118</v>
      </c>
    </row>
    <row r="883" spans="12:14" x14ac:dyDescent="0.3">
      <c r="L883">
        <v>871</v>
      </c>
      <c r="M883">
        <v>1</v>
      </c>
      <c r="N883">
        <v>0.89130779322890918</v>
      </c>
    </row>
    <row r="884" spans="12:14" x14ac:dyDescent="0.3">
      <c r="L884">
        <v>872</v>
      </c>
      <c r="M884">
        <v>1</v>
      </c>
      <c r="N884">
        <v>0.68814612485156545</v>
      </c>
    </row>
    <row r="885" spans="12:14" x14ac:dyDescent="0.3">
      <c r="L885">
        <v>873</v>
      </c>
      <c r="M885">
        <v>0</v>
      </c>
      <c r="N885">
        <v>0.80041476198253014</v>
      </c>
    </row>
    <row r="886" spans="12:14" x14ac:dyDescent="0.3">
      <c r="L886">
        <v>874</v>
      </c>
      <c r="M886">
        <v>1</v>
      </c>
      <c r="N886">
        <v>0.75756989053150492</v>
      </c>
    </row>
    <row r="887" spans="12:14" x14ac:dyDescent="0.3">
      <c r="L887">
        <v>875</v>
      </c>
      <c r="M887">
        <v>1</v>
      </c>
      <c r="N887">
        <v>0.34996901302890199</v>
      </c>
    </row>
    <row r="888" spans="12:14" x14ac:dyDescent="0.3">
      <c r="L888">
        <v>876</v>
      </c>
      <c r="M888">
        <v>1</v>
      </c>
      <c r="N888">
        <v>0.85955479579812832</v>
      </c>
    </row>
    <row r="889" spans="12:14" x14ac:dyDescent="0.3">
      <c r="L889">
        <v>877</v>
      </c>
      <c r="M889">
        <v>0</v>
      </c>
      <c r="N889">
        <v>0.8897088207741275</v>
      </c>
    </row>
    <row r="890" spans="12:14" x14ac:dyDescent="0.3">
      <c r="L890">
        <v>878</v>
      </c>
      <c r="M890">
        <v>1</v>
      </c>
      <c r="N890">
        <v>0.59933188713814856</v>
      </c>
    </row>
    <row r="891" spans="12:14" x14ac:dyDescent="0.3">
      <c r="L891">
        <v>879</v>
      </c>
      <c r="M891">
        <v>1</v>
      </c>
      <c r="N891">
        <v>0.41094147726468971</v>
      </c>
    </row>
    <row r="892" spans="12:14" x14ac:dyDescent="0.3">
      <c r="L892">
        <v>880</v>
      </c>
      <c r="M892">
        <v>0</v>
      </c>
      <c r="N892">
        <v>0.35244773399567492</v>
      </c>
    </row>
    <row r="893" spans="12:14" x14ac:dyDescent="0.3">
      <c r="L893">
        <v>881</v>
      </c>
      <c r="M893">
        <v>0</v>
      </c>
      <c r="N893">
        <v>0.28574547441514148</v>
      </c>
    </row>
    <row r="894" spans="12:14" x14ac:dyDescent="0.3">
      <c r="L894">
        <v>882</v>
      </c>
      <c r="M894">
        <v>1</v>
      </c>
      <c r="N894">
        <v>0.47239525301473007</v>
      </c>
    </row>
    <row r="895" spans="12:14" x14ac:dyDescent="0.3">
      <c r="L895">
        <v>883</v>
      </c>
      <c r="M895">
        <v>1</v>
      </c>
      <c r="N895">
        <v>0.85436479311588509</v>
      </c>
    </row>
    <row r="896" spans="12:14" x14ac:dyDescent="0.3">
      <c r="L896">
        <v>884</v>
      </c>
      <c r="M896">
        <v>0</v>
      </c>
      <c r="N896">
        <v>0.83129924347168671</v>
      </c>
    </row>
    <row r="897" spans="12:14" x14ac:dyDescent="0.3">
      <c r="L897">
        <v>885</v>
      </c>
      <c r="M897">
        <v>1</v>
      </c>
      <c r="N897">
        <v>0.32929131836592918</v>
      </c>
    </row>
    <row r="898" spans="12:14" x14ac:dyDescent="0.3">
      <c r="L898">
        <v>886</v>
      </c>
      <c r="M898">
        <v>0</v>
      </c>
      <c r="N898">
        <v>0.69803657819437903</v>
      </c>
    </row>
    <row r="899" spans="12:14" x14ac:dyDescent="0.3">
      <c r="L899">
        <v>887</v>
      </c>
      <c r="M899">
        <v>1</v>
      </c>
      <c r="N899">
        <v>0.97107781685750472</v>
      </c>
    </row>
    <row r="900" spans="12:14" x14ac:dyDescent="0.3">
      <c r="L900">
        <v>888</v>
      </c>
      <c r="M900">
        <v>1</v>
      </c>
      <c r="N900">
        <v>0.40908398227981402</v>
      </c>
    </row>
    <row r="901" spans="12:14" x14ac:dyDescent="0.3">
      <c r="L901">
        <v>889</v>
      </c>
      <c r="M901">
        <v>1</v>
      </c>
      <c r="N901">
        <v>0.68183863466540851</v>
      </c>
    </row>
    <row r="902" spans="12:14" x14ac:dyDescent="0.3">
      <c r="L902">
        <v>890</v>
      </c>
      <c r="M902">
        <v>1</v>
      </c>
      <c r="N902">
        <v>0.72892017581114432</v>
      </c>
    </row>
    <row r="903" spans="12:14" x14ac:dyDescent="0.3">
      <c r="L903">
        <v>891</v>
      </c>
      <c r="M903">
        <v>0</v>
      </c>
      <c r="N903">
        <v>0.35436737178936339</v>
      </c>
    </row>
    <row r="904" spans="12:14" x14ac:dyDescent="0.3">
      <c r="L904">
        <v>892</v>
      </c>
      <c r="M904">
        <v>1</v>
      </c>
      <c r="N904">
        <v>0.38407715146557136</v>
      </c>
    </row>
    <row r="905" spans="12:14" x14ac:dyDescent="0.3">
      <c r="L905">
        <v>893</v>
      </c>
      <c r="M905">
        <v>1</v>
      </c>
      <c r="N905">
        <v>0.66295516724225378</v>
      </c>
    </row>
    <row r="906" spans="12:14" x14ac:dyDescent="0.3">
      <c r="L906">
        <v>894</v>
      </c>
      <c r="M906">
        <v>1</v>
      </c>
      <c r="N906">
        <v>0.42809612261259183</v>
      </c>
    </row>
    <row r="907" spans="12:14" x14ac:dyDescent="0.3">
      <c r="L907">
        <v>895</v>
      </c>
      <c r="M907">
        <v>1</v>
      </c>
      <c r="N907">
        <v>0.649818706936649</v>
      </c>
    </row>
    <row r="908" spans="12:14" x14ac:dyDescent="0.3">
      <c r="L908">
        <v>896</v>
      </c>
      <c r="M908">
        <v>0</v>
      </c>
      <c r="N908">
        <v>0.58817205379454562</v>
      </c>
    </row>
    <row r="909" spans="12:14" x14ac:dyDescent="0.3">
      <c r="L909">
        <v>897</v>
      </c>
      <c r="M909">
        <v>1</v>
      </c>
      <c r="N909">
        <v>0.79765454830447324</v>
      </c>
    </row>
    <row r="910" spans="12:14" x14ac:dyDescent="0.3">
      <c r="L910">
        <v>898</v>
      </c>
      <c r="M910">
        <v>1</v>
      </c>
      <c r="N910">
        <v>0.67850463875478773</v>
      </c>
    </row>
    <row r="911" spans="12:14" x14ac:dyDescent="0.3">
      <c r="L911">
        <v>899</v>
      </c>
      <c r="M911">
        <v>1</v>
      </c>
      <c r="N911">
        <v>0.31431788044527464</v>
      </c>
    </row>
    <row r="912" spans="12:14" x14ac:dyDescent="0.3">
      <c r="L912">
        <v>900</v>
      </c>
      <c r="M912">
        <v>1</v>
      </c>
      <c r="N912">
        <v>0.50131803630367999</v>
      </c>
    </row>
    <row r="913" spans="12:14" x14ac:dyDescent="0.3">
      <c r="L913">
        <v>901</v>
      </c>
      <c r="M913">
        <v>1</v>
      </c>
      <c r="N913">
        <v>0.799500062962895</v>
      </c>
    </row>
    <row r="914" spans="12:14" x14ac:dyDescent="0.3">
      <c r="L914">
        <v>902</v>
      </c>
      <c r="M914">
        <v>1</v>
      </c>
      <c r="N914">
        <v>0.85021816683104279</v>
      </c>
    </row>
    <row r="915" spans="12:14" x14ac:dyDescent="0.3">
      <c r="L915">
        <v>903</v>
      </c>
      <c r="M915">
        <v>1</v>
      </c>
      <c r="N915">
        <v>0.33916609351667426</v>
      </c>
    </row>
    <row r="916" spans="12:14" x14ac:dyDescent="0.3">
      <c r="L916">
        <v>904</v>
      </c>
      <c r="M916">
        <v>1</v>
      </c>
      <c r="N916">
        <v>0.91448631040458361</v>
      </c>
    </row>
    <row r="917" spans="12:14" x14ac:dyDescent="0.3">
      <c r="L917">
        <v>905</v>
      </c>
      <c r="M917">
        <v>1</v>
      </c>
      <c r="N917">
        <v>0.66762702303448229</v>
      </c>
    </row>
    <row r="918" spans="12:14" x14ac:dyDescent="0.3">
      <c r="L918">
        <v>906</v>
      </c>
      <c r="M918">
        <v>1</v>
      </c>
      <c r="N918">
        <v>0.6094460603539944</v>
      </c>
    </row>
    <row r="919" spans="12:14" x14ac:dyDescent="0.3">
      <c r="L919">
        <v>907</v>
      </c>
      <c r="M919">
        <v>1</v>
      </c>
      <c r="N919">
        <v>0.7480763451612471</v>
      </c>
    </row>
    <row r="920" spans="12:14" x14ac:dyDescent="0.3">
      <c r="L920">
        <v>908</v>
      </c>
      <c r="M920">
        <v>0</v>
      </c>
      <c r="N920">
        <v>0.56184892922886531</v>
      </c>
    </row>
    <row r="921" spans="12:14" x14ac:dyDescent="0.3">
      <c r="L921">
        <v>909</v>
      </c>
      <c r="M921">
        <v>0</v>
      </c>
      <c r="N921">
        <v>0.64433095891450543</v>
      </c>
    </row>
    <row r="922" spans="12:14" x14ac:dyDescent="0.3">
      <c r="L922">
        <v>910</v>
      </c>
      <c r="M922">
        <v>1</v>
      </c>
      <c r="N922">
        <v>0.92733167011059925</v>
      </c>
    </row>
    <row r="923" spans="12:14" x14ac:dyDescent="0.3">
      <c r="L923">
        <v>911</v>
      </c>
      <c r="M923">
        <v>1</v>
      </c>
      <c r="N923">
        <v>0.31555870553073917</v>
      </c>
    </row>
    <row r="924" spans="12:14" x14ac:dyDescent="0.3">
      <c r="L924">
        <v>912</v>
      </c>
      <c r="M924">
        <v>1</v>
      </c>
      <c r="N924">
        <v>0.73513582622657991</v>
      </c>
    </row>
    <row r="925" spans="12:14" x14ac:dyDescent="0.3">
      <c r="L925">
        <v>913</v>
      </c>
      <c r="M925">
        <v>1</v>
      </c>
      <c r="N925">
        <v>0.61547994979627729</v>
      </c>
    </row>
    <row r="926" spans="12:14" x14ac:dyDescent="0.3">
      <c r="L926">
        <v>914</v>
      </c>
      <c r="M926">
        <v>1</v>
      </c>
      <c r="N926">
        <v>0.59209768477246549</v>
      </c>
    </row>
    <row r="927" spans="12:14" x14ac:dyDescent="0.3">
      <c r="L927">
        <v>915</v>
      </c>
      <c r="M927">
        <v>0</v>
      </c>
      <c r="N927">
        <v>0.32423277973292491</v>
      </c>
    </row>
    <row r="928" spans="12:14" x14ac:dyDescent="0.3">
      <c r="L928">
        <v>916</v>
      </c>
      <c r="M928">
        <v>1</v>
      </c>
      <c r="N928">
        <v>0.36959552642540572</v>
      </c>
    </row>
    <row r="929" spans="12:14" x14ac:dyDescent="0.3">
      <c r="L929">
        <v>917</v>
      </c>
      <c r="M929">
        <v>0</v>
      </c>
      <c r="N929">
        <v>0.76493868045151325</v>
      </c>
    </row>
    <row r="930" spans="12:14" x14ac:dyDescent="0.3">
      <c r="L930">
        <v>918</v>
      </c>
      <c r="M930">
        <v>1</v>
      </c>
      <c r="N930">
        <v>0.51212343159241558</v>
      </c>
    </row>
    <row r="931" spans="12:14" x14ac:dyDescent="0.3">
      <c r="L931">
        <v>919</v>
      </c>
      <c r="M931">
        <v>1</v>
      </c>
      <c r="N931">
        <v>0.17984043212241704</v>
      </c>
    </row>
    <row r="932" spans="12:14" x14ac:dyDescent="0.3">
      <c r="L932">
        <v>920</v>
      </c>
      <c r="M932">
        <v>1</v>
      </c>
      <c r="N932">
        <v>0.45688124108120515</v>
      </c>
    </row>
    <row r="933" spans="12:14" x14ac:dyDescent="0.3">
      <c r="L933">
        <v>921</v>
      </c>
      <c r="M933">
        <v>1</v>
      </c>
      <c r="N933">
        <v>0.70014442334542726</v>
      </c>
    </row>
    <row r="934" spans="12:14" x14ac:dyDescent="0.3">
      <c r="L934">
        <v>922</v>
      </c>
      <c r="M934">
        <v>1</v>
      </c>
      <c r="N934">
        <v>0.77582169433880099</v>
      </c>
    </row>
    <row r="935" spans="12:14" x14ac:dyDescent="0.3">
      <c r="L935">
        <v>923</v>
      </c>
      <c r="M935">
        <v>1</v>
      </c>
      <c r="N935">
        <v>0.38359580565097484</v>
      </c>
    </row>
    <row r="936" spans="12:14" x14ac:dyDescent="0.3">
      <c r="L936">
        <v>924</v>
      </c>
      <c r="M936">
        <v>1</v>
      </c>
      <c r="N936">
        <v>0.84256907832810679</v>
      </c>
    </row>
    <row r="937" spans="12:14" x14ac:dyDescent="0.3">
      <c r="L937">
        <v>925</v>
      </c>
      <c r="M937">
        <v>1</v>
      </c>
      <c r="N937">
        <v>0.33973024097907534</v>
      </c>
    </row>
    <row r="938" spans="12:14" x14ac:dyDescent="0.3">
      <c r="L938">
        <v>926</v>
      </c>
      <c r="M938">
        <v>1</v>
      </c>
      <c r="N938">
        <v>0.94693444030150387</v>
      </c>
    </row>
    <row r="939" spans="12:14" x14ac:dyDescent="0.3">
      <c r="L939">
        <v>927</v>
      </c>
      <c r="M939">
        <v>1</v>
      </c>
      <c r="N939">
        <v>0.86500817964950238</v>
      </c>
    </row>
    <row r="940" spans="12:14" x14ac:dyDescent="0.3">
      <c r="L940">
        <v>928</v>
      </c>
      <c r="M940">
        <v>0</v>
      </c>
      <c r="N940">
        <v>0.69023642191145596</v>
      </c>
    </row>
    <row r="941" spans="12:14" x14ac:dyDescent="0.3">
      <c r="L941">
        <v>929</v>
      </c>
      <c r="M941">
        <v>1</v>
      </c>
      <c r="N941">
        <v>0.7383277176496168</v>
      </c>
    </row>
    <row r="942" spans="12:14" x14ac:dyDescent="0.3">
      <c r="L942">
        <v>930</v>
      </c>
      <c r="M942">
        <v>0</v>
      </c>
      <c r="N942">
        <v>0.59190069115683419</v>
      </c>
    </row>
    <row r="943" spans="12:14" x14ac:dyDescent="0.3">
      <c r="L943">
        <v>931</v>
      </c>
      <c r="M943">
        <v>0</v>
      </c>
      <c r="N943">
        <v>0.49184387652861783</v>
      </c>
    </row>
    <row r="944" spans="12:14" x14ac:dyDescent="0.3">
      <c r="L944">
        <v>932</v>
      </c>
      <c r="M944">
        <v>1</v>
      </c>
      <c r="N944">
        <v>0.23312853016354546</v>
      </c>
    </row>
    <row r="945" spans="12:14" x14ac:dyDescent="0.3">
      <c r="L945">
        <v>933</v>
      </c>
      <c r="M945">
        <v>1</v>
      </c>
      <c r="N945">
        <v>0.84122715271606874</v>
      </c>
    </row>
    <row r="946" spans="12:14" x14ac:dyDescent="0.3">
      <c r="L946">
        <v>934</v>
      </c>
      <c r="M946">
        <v>1</v>
      </c>
      <c r="N946">
        <v>0.71106766838876889</v>
      </c>
    </row>
    <row r="947" spans="12:14" x14ac:dyDescent="0.3">
      <c r="L947">
        <v>935</v>
      </c>
      <c r="M947">
        <v>1</v>
      </c>
      <c r="N947">
        <v>0.8082978496556229</v>
      </c>
    </row>
    <row r="948" spans="12:14" x14ac:dyDescent="0.3">
      <c r="L948">
        <v>936</v>
      </c>
      <c r="M948">
        <v>0</v>
      </c>
      <c r="N948">
        <v>0.9174615611494592</v>
      </c>
    </row>
    <row r="949" spans="12:14" x14ac:dyDescent="0.3">
      <c r="L949">
        <v>937</v>
      </c>
      <c r="M949">
        <v>1</v>
      </c>
      <c r="N949">
        <v>0.98366332700073789</v>
      </c>
    </row>
    <row r="950" spans="12:14" x14ac:dyDescent="0.3">
      <c r="L950">
        <v>938</v>
      </c>
      <c r="M950">
        <v>1</v>
      </c>
      <c r="N950">
        <v>0.45279458643312509</v>
      </c>
    </row>
    <row r="951" spans="12:14" x14ac:dyDescent="0.3">
      <c r="L951">
        <v>939</v>
      </c>
      <c r="M951">
        <v>0</v>
      </c>
      <c r="N951">
        <v>0.51723229417689809</v>
      </c>
    </row>
    <row r="952" spans="12:14" x14ac:dyDescent="0.3">
      <c r="L952">
        <v>940</v>
      </c>
      <c r="M952">
        <v>1</v>
      </c>
      <c r="N952">
        <v>0.7035816559518252</v>
      </c>
    </row>
    <row r="953" spans="12:14" x14ac:dyDescent="0.3">
      <c r="L953">
        <v>941</v>
      </c>
      <c r="M953">
        <v>0</v>
      </c>
      <c r="N953">
        <v>0.62711804417288275</v>
      </c>
    </row>
    <row r="954" spans="12:14" x14ac:dyDescent="0.3">
      <c r="L954">
        <v>942</v>
      </c>
      <c r="M954">
        <v>0</v>
      </c>
      <c r="N954">
        <v>0.8607361523314504</v>
      </c>
    </row>
    <row r="955" spans="12:14" x14ac:dyDescent="0.3">
      <c r="L955">
        <v>943</v>
      </c>
      <c r="M955">
        <v>1</v>
      </c>
      <c r="N955">
        <v>0.47261635903373933</v>
      </c>
    </row>
    <row r="956" spans="12:14" x14ac:dyDescent="0.3">
      <c r="L956">
        <v>944</v>
      </c>
      <c r="M956">
        <v>1</v>
      </c>
      <c r="N956">
        <v>0.85981526694280119</v>
      </c>
    </row>
    <row r="957" spans="12:14" x14ac:dyDescent="0.3">
      <c r="L957">
        <v>945</v>
      </c>
      <c r="M957">
        <v>1</v>
      </c>
      <c r="N957">
        <v>0.97344614046854849</v>
      </c>
    </row>
    <row r="958" spans="12:14" x14ac:dyDescent="0.3">
      <c r="L958">
        <v>946</v>
      </c>
      <c r="M958">
        <v>1</v>
      </c>
      <c r="N958">
        <v>0.76560275135552336</v>
      </c>
    </row>
    <row r="959" spans="12:14" x14ac:dyDescent="0.3">
      <c r="L959">
        <v>947</v>
      </c>
      <c r="M959">
        <v>1</v>
      </c>
      <c r="N959">
        <v>0.5991370643420334</v>
      </c>
    </row>
    <row r="960" spans="12:14" x14ac:dyDescent="0.3">
      <c r="L960">
        <v>948</v>
      </c>
      <c r="M960">
        <v>0</v>
      </c>
      <c r="N960">
        <v>0.53162290766354703</v>
      </c>
    </row>
    <row r="961" spans="12:14" x14ac:dyDescent="0.3">
      <c r="L961">
        <v>949</v>
      </c>
      <c r="M961">
        <v>1</v>
      </c>
      <c r="N961">
        <v>0.97536075691556312</v>
      </c>
    </row>
    <row r="962" spans="12:14" x14ac:dyDescent="0.3">
      <c r="L962">
        <v>950</v>
      </c>
      <c r="M962">
        <v>1</v>
      </c>
      <c r="N962">
        <v>0.95032753324404418</v>
      </c>
    </row>
    <row r="963" spans="12:14" x14ac:dyDescent="0.3">
      <c r="L963">
        <v>951</v>
      </c>
      <c r="M963">
        <v>0</v>
      </c>
      <c r="N963">
        <v>0.64848430700625137</v>
      </c>
    </row>
    <row r="964" spans="12:14" x14ac:dyDescent="0.3">
      <c r="L964">
        <v>952</v>
      </c>
      <c r="M964">
        <v>1</v>
      </c>
      <c r="N964">
        <v>0.73414880849160935</v>
      </c>
    </row>
    <row r="965" spans="12:14" x14ac:dyDescent="0.3">
      <c r="L965">
        <v>953</v>
      </c>
      <c r="M965">
        <v>1</v>
      </c>
      <c r="N965">
        <v>0.83848755061909785</v>
      </c>
    </row>
    <row r="966" spans="12:14" x14ac:dyDescent="0.3">
      <c r="L966">
        <v>954</v>
      </c>
      <c r="M966">
        <v>1</v>
      </c>
      <c r="N966">
        <v>0.97497613953176276</v>
      </c>
    </row>
    <row r="967" spans="12:14" x14ac:dyDescent="0.3">
      <c r="L967">
        <v>955</v>
      </c>
      <c r="M967">
        <v>0</v>
      </c>
      <c r="N967">
        <v>0.74467074599203642</v>
      </c>
    </row>
    <row r="968" spans="12:14" x14ac:dyDescent="0.3">
      <c r="L968">
        <v>956</v>
      </c>
      <c r="M968">
        <v>1</v>
      </c>
      <c r="N968">
        <v>0.92189910924032481</v>
      </c>
    </row>
    <row r="969" spans="12:14" x14ac:dyDescent="0.3">
      <c r="L969">
        <v>957</v>
      </c>
      <c r="M969">
        <v>0</v>
      </c>
      <c r="N969">
        <v>0.73714489919714177</v>
      </c>
    </row>
    <row r="970" spans="12:14" x14ac:dyDescent="0.3">
      <c r="L970">
        <v>958</v>
      </c>
      <c r="M970">
        <v>1</v>
      </c>
      <c r="N970">
        <v>0.58145537397553526</v>
      </c>
    </row>
    <row r="971" spans="12:14" x14ac:dyDescent="0.3">
      <c r="L971">
        <v>959</v>
      </c>
      <c r="M971">
        <v>0</v>
      </c>
      <c r="N971">
        <v>0.77460384480124167</v>
      </c>
    </row>
    <row r="972" spans="12:14" x14ac:dyDescent="0.3">
      <c r="L972">
        <v>960</v>
      </c>
      <c r="M972">
        <v>1</v>
      </c>
      <c r="N972">
        <v>0.18798228007989198</v>
      </c>
    </row>
    <row r="973" spans="12:14" x14ac:dyDescent="0.3">
      <c r="L973">
        <v>961</v>
      </c>
      <c r="M973">
        <v>1</v>
      </c>
      <c r="N973">
        <v>0.68301362220029616</v>
      </c>
    </row>
    <row r="974" spans="12:14" x14ac:dyDescent="0.3">
      <c r="L974">
        <v>962</v>
      </c>
      <c r="M974">
        <v>1</v>
      </c>
      <c r="N974">
        <v>0.7770408133555734</v>
      </c>
    </row>
    <row r="975" spans="12:14" x14ac:dyDescent="0.3">
      <c r="L975">
        <v>963</v>
      </c>
      <c r="M975">
        <v>1</v>
      </c>
      <c r="N975">
        <v>0.74067363140096376</v>
      </c>
    </row>
    <row r="976" spans="12:14" x14ac:dyDescent="0.3">
      <c r="L976">
        <v>964</v>
      </c>
      <c r="M976">
        <v>1</v>
      </c>
      <c r="N976">
        <v>0.63252910768317838</v>
      </c>
    </row>
    <row r="977" spans="12:14" x14ac:dyDescent="0.3">
      <c r="L977">
        <v>965</v>
      </c>
      <c r="M977">
        <v>1</v>
      </c>
      <c r="N977">
        <v>0.87705160628209766</v>
      </c>
    </row>
    <row r="978" spans="12:14" x14ac:dyDescent="0.3">
      <c r="L978">
        <v>966</v>
      </c>
      <c r="M978">
        <v>1</v>
      </c>
      <c r="N978">
        <v>0.75901256588162846</v>
      </c>
    </row>
    <row r="979" spans="12:14" x14ac:dyDescent="0.3">
      <c r="L979">
        <v>967</v>
      </c>
      <c r="M979">
        <v>1</v>
      </c>
      <c r="N979">
        <v>0.71232781508443122</v>
      </c>
    </row>
    <row r="980" spans="12:14" x14ac:dyDescent="0.3">
      <c r="L980">
        <v>968</v>
      </c>
      <c r="M980">
        <v>1</v>
      </c>
      <c r="N980">
        <v>0.48418741898624862</v>
      </c>
    </row>
    <row r="981" spans="12:14" x14ac:dyDescent="0.3">
      <c r="L981">
        <v>969</v>
      </c>
      <c r="M981">
        <v>1</v>
      </c>
      <c r="N981">
        <v>0.59029047211393937</v>
      </c>
    </row>
    <row r="982" spans="12:14" x14ac:dyDescent="0.3">
      <c r="L982">
        <v>970</v>
      </c>
      <c r="M982">
        <v>1</v>
      </c>
      <c r="N982">
        <v>0.96017196519774073</v>
      </c>
    </row>
    <row r="983" spans="12:14" x14ac:dyDescent="0.3">
      <c r="L983">
        <v>971</v>
      </c>
      <c r="M983">
        <v>1</v>
      </c>
      <c r="N983">
        <v>0.63473232461163187</v>
      </c>
    </row>
    <row r="984" spans="12:14" x14ac:dyDescent="0.3">
      <c r="L984">
        <v>972</v>
      </c>
      <c r="M984">
        <v>1</v>
      </c>
      <c r="N984">
        <v>0.57459199755759005</v>
      </c>
    </row>
    <row r="985" spans="12:14" x14ac:dyDescent="0.3">
      <c r="L985">
        <v>973</v>
      </c>
      <c r="M985">
        <v>0</v>
      </c>
      <c r="N985">
        <v>0.96698799816123571</v>
      </c>
    </row>
    <row r="986" spans="12:14" x14ac:dyDescent="0.3">
      <c r="L986">
        <v>974</v>
      </c>
      <c r="M986">
        <v>1</v>
      </c>
      <c r="N986">
        <v>0.68252181956949454</v>
      </c>
    </row>
    <row r="987" spans="12:14" x14ac:dyDescent="0.3">
      <c r="L987">
        <v>975</v>
      </c>
      <c r="M987">
        <v>1</v>
      </c>
      <c r="N987">
        <v>0.81339280630494559</v>
      </c>
    </row>
    <row r="988" spans="12:14" x14ac:dyDescent="0.3">
      <c r="L988">
        <v>976</v>
      </c>
      <c r="M988">
        <v>1</v>
      </c>
      <c r="N988">
        <v>0.83494697578907129</v>
      </c>
    </row>
    <row r="989" spans="12:14" x14ac:dyDescent="0.3">
      <c r="L989">
        <v>977</v>
      </c>
      <c r="M989">
        <v>1</v>
      </c>
      <c r="N989">
        <v>0.84476139987953436</v>
      </c>
    </row>
    <row r="990" spans="12:14" x14ac:dyDescent="0.3">
      <c r="L990">
        <v>978</v>
      </c>
      <c r="M990">
        <v>1</v>
      </c>
      <c r="N990">
        <v>0.78754402645617749</v>
      </c>
    </row>
    <row r="991" spans="12:14" x14ac:dyDescent="0.3">
      <c r="L991">
        <v>979</v>
      </c>
      <c r="M991">
        <v>1</v>
      </c>
      <c r="N991">
        <v>0.70321716574248161</v>
      </c>
    </row>
    <row r="992" spans="12:14" x14ac:dyDescent="0.3">
      <c r="L992">
        <v>980</v>
      </c>
      <c r="M992">
        <v>1</v>
      </c>
      <c r="N992">
        <v>0.84127672495082539</v>
      </c>
    </row>
    <row r="993" spans="12:14" x14ac:dyDescent="0.3">
      <c r="L993">
        <v>981</v>
      </c>
      <c r="M993">
        <v>1</v>
      </c>
      <c r="N993">
        <v>0.50235076777879673</v>
      </c>
    </row>
    <row r="994" spans="12:14" x14ac:dyDescent="0.3">
      <c r="L994">
        <v>982</v>
      </c>
      <c r="M994">
        <v>1</v>
      </c>
      <c r="N994">
        <v>0.65526299339415517</v>
      </c>
    </row>
    <row r="995" spans="12:14" x14ac:dyDescent="0.3">
      <c r="L995">
        <v>983</v>
      </c>
      <c r="M995">
        <v>1</v>
      </c>
      <c r="N995">
        <v>0.72886240633896715</v>
      </c>
    </row>
    <row r="996" spans="12:14" x14ac:dyDescent="0.3">
      <c r="L996">
        <v>984</v>
      </c>
      <c r="M996">
        <v>1</v>
      </c>
      <c r="N996">
        <v>0.60751638920072171</v>
      </c>
    </row>
    <row r="997" spans="12:14" x14ac:dyDescent="0.3">
      <c r="L997">
        <v>985</v>
      </c>
      <c r="M997">
        <v>0</v>
      </c>
      <c r="N997">
        <v>0.53386443959684016</v>
      </c>
    </row>
    <row r="998" spans="12:14" x14ac:dyDescent="0.3">
      <c r="L998">
        <v>986</v>
      </c>
      <c r="M998">
        <v>1</v>
      </c>
      <c r="N998">
        <v>0.76362177509859797</v>
      </c>
    </row>
    <row r="999" spans="12:14" x14ac:dyDescent="0.3">
      <c r="L999">
        <v>987</v>
      </c>
      <c r="M999">
        <v>0</v>
      </c>
      <c r="N999">
        <v>0.72580589666570638</v>
      </c>
    </row>
    <row r="1000" spans="12:14" x14ac:dyDescent="0.3">
      <c r="L1000">
        <v>988</v>
      </c>
      <c r="M1000">
        <v>1</v>
      </c>
      <c r="N1000">
        <v>0.45168235910504151</v>
      </c>
    </row>
    <row r="1001" spans="12:14" x14ac:dyDescent="0.3">
      <c r="L1001">
        <v>989</v>
      </c>
      <c r="M1001">
        <v>1</v>
      </c>
      <c r="N1001">
        <v>0.46128713668271581</v>
      </c>
    </row>
    <row r="1002" spans="12:14" x14ac:dyDescent="0.3">
      <c r="L1002">
        <v>990</v>
      </c>
      <c r="M1002">
        <v>1</v>
      </c>
      <c r="N1002">
        <v>0.65999035785341031</v>
      </c>
    </row>
    <row r="1003" spans="12:14" x14ac:dyDescent="0.3">
      <c r="L1003">
        <v>991</v>
      </c>
      <c r="M1003">
        <v>0</v>
      </c>
      <c r="N1003">
        <v>0.32299791282947266</v>
      </c>
    </row>
    <row r="1004" spans="12:14" x14ac:dyDescent="0.3">
      <c r="L1004">
        <v>992</v>
      </c>
      <c r="M1004">
        <v>1</v>
      </c>
      <c r="N1004">
        <v>0.70020983476240173</v>
      </c>
    </row>
    <row r="1005" spans="12:14" x14ac:dyDescent="0.3">
      <c r="L1005">
        <v>993</v>
      </c>
      <c r="M1005">
        <v>1</v>
      </c>
      <c r="N1005">
        <v>0.79862500261143332</v>
      </c>
    </row>
    <row r="1006" spans="12:14" x14ac:dyDescent="0.3">
      <c r="L1006">
        <v>994</v>
      </c>
      <c r="M1006">
        <v>0</v>
      </c>
      <c r="N1006">
        <v>0.30336315529749625</v>
      </c>
    </row>
    <row r="1007" spans="12:14" x14ac:dyDescent="0.3">
      <c r="L1007">
        <v>995</v>
      </c>
      <c r="M1007">
        <v>1</v>
      </c>
      <c r="N1007">
        <v>0.95117403757255703</v>
      </c>
    </row>
    <row r="1008" spans="12:14" x14ac:dyDescent="0.3">
      <c r="L1008">
        <v>996</v>
      </c>
      <c r="M1008">
        <v>1</v>
      </c>
      <c r="N1008">
        <v>0.36351467087720046</v>
      </c>
    </row>
    <row r="1009" spans="12:14" x14ac:dyDescent="0.3">
      <c r="L1009">
        <v>997</v>
      </c>
      <c r="M1009">
        <v>1</v>
      </c>
      <c r="N1009">
        <v>0.59227825939567713</v>
      </c>
    </row>
    <row r="1010" spans="12:14" x14ac:dyDescent="0.3">
      <c r="L1010">
        <v>998</v>
      </c>
      <c r="M1010">
        <v>1</v>
      </c>
      <c r="N1010">
        <v>0.46523112814257334</v>
      </c>
    </row>
    <row r="1011" spans="12:14" x14ac:dyDescent="0.3">
      <c r="L1011">
        <v>999</v>
      </c>
      <c r="M1011">
        <v>1</v>
      </c>
      <c r="N1011">
        <v>0.44581946759906099</v>
      </c>
    </row>
    <row r="1012" spans="12:14" x14ac:dyDescent="0.3">
      <c r="L1012">
        <v>1000</v>
      </c>
      <c r="M1012">
        <v>1</v>
      </c>
      <c r="N1012">
        <v>0.41715028460177189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6B5A9-096E-4149-B7E1-36480EA15104}">
  <sheetPr codeName="Sheet2"/>
  <dimension ref="A1:AF21"/>
  <sheetViews>
    <sheetView workbookViewId="0">
      <selection activeCell="H2" sqref="H2:I21"/>
    </sheetView>
  </sheetViews>
  <sheetFormatPr defaultRowHeight="14.4" x14ac:dyDescent="0.3"/>
  <cols>
    <col min="22" max="22" width="12" bestFit="1" customWidth="1"/>
  </cols>
  <sheetData>
    <row r="1" spans="1:32" x14ac:dyDescent="0.3">
      <c r="A1" t="s">
        <v>29</v>
      </c>
      <c r="B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32" x14ac:dyDescent="0.3">
      <c r="A2">
        <v>0.73684210526315785</v>
      </c>
      <c r="B2">
        <v>0.44034738238635557</v>
      </c>
      <c r="E2">
        <f>both!C5</f>
        <v>1</v>
      </c>
      <c r="G2">
        <f>(both!G5-Characteristics_of_Arm_A!A2)/Characteristics_of_Arm_A!B2</f>
        <v>0.59761430466719689</v>
      </c>
      <c r="H2">
        <v>-0.10609</v>
      </c>
      <c r="I2">
        <v>0.196468</v>
      </c>
      <c r="J2" cm="1">
        <f t="array" aca="1" ref="J2" ca="1">SUM(G2:G21*H2:H21)</f>
        <v>-1.0565260135182521</v>
      </c>
      <c r="K2" cm="1">
        <f t="array" aca="1" ref="K2" ca="1">SUM(G2:G21*I2:I21)</f>
        <v>0.36307746472939706</v>
      </c>
    </row>
    <row r="3" spans="1:32" x14ac:dyDescent="0.3">
      <c r="A3">
        <v>1.5964912280701755</v>
      </c>
      <c r="B3">
        <v>0.49060110365296711</v>
      </c>
      <c r="E3">
        <f>both!C6</f>
        <v>2</v>
      </c>
      <c r="G3">
        <f>(both!G6-Characteristics_of_Arm_A!A3)/Characteristics_of_Arm_A!B3</f>
        <v>0.82247832082997419</v>
      </c>
      <c r="H3">
        <v>-2.2235000000000001E-2</v>
      </c>
      <c r="I3">
        <v>0.43938500000000003</v>
      </c>
      <c r="V3" t="s">
        <v>40</v>
      </c>
      <c r="AF3" s="1"/>
    </row>
    <row r="4" spans="1:32" x14ac:dyDescent="0.3">
      <c r="A4">
        <v>2.1403508771929824</v>
      </c>
      <c r="B4">
        <v>0.68668020318529566</v>
      </c>
      <c r="E4">
        <f>both!C7</f>
        <v>2</v>
      </c>
      <c r="G4">
        <f>(both!G7-Characteristics_of_Arm_A!A4)/Characteristics_of_Arm_A!B4</f>
        <v>-0.20439045212303839</v>
      </c>
      <c r="H4">
        <v>-0.40359800000000001</v>
      </c>
      <c r="I4">
        <v>0.130798</v>
      </c>
      <c r="M4" t="s">
        <v>36</v>
      </c>
      <c r="N4">
        <v>-0.39691904296889102</v>
      </c>
      <c r="O4">
        <v>1.2120104556865601</v>
      </c>
      <c r="P4">
        <v>-0.19723622140394101</v>
      </c>
      <c r="Q4">
        <v>-0.18767313160549601</v>
      </c>
      <c r="S4" t="s">
        <v>37</v>
      </c>
      <c r="U4">
        <f ca="1">N4+$J$2*O4+$K$2*P4+Q4</f>
        <v>-1.9367247768834976</v>
      </c>
      <c r="V4">
        <f ca="1">IFERROR(EXP(U4)/(EXP($U$4)+EXP($U$5)+EXP($U$6)),0)</f>
        <v>7.4346831326798396E-2</v>
      </c>
      <c r="X4" t="s">
        <v>82</v>
      </c>
      <c r="Y4">
        <f ca="1">V4+V6</f>
        <v>0.491897070107016</v>
      </c>
    </row>
    <row r="5" spans="1:32" x14ac:dyDescent="0.3">
      <c r="A5">
        <v>0.78947368421052633</v>
      </c>
      <c r="B5">
        <v>0.40768245749551757</v>
      </c>
      <c r="E5">
        <f>both!C8</f>
        <v>1</v>
      </c>
      <c r="G5">
        <f>(both!G8-Characteristics_of_Arm_A!A5)/Characteristics_of_Arm_A!B5</f>
        <v>0.5163977794943222</v>
      </c>
      <c r="H5">
        <v>-1.07967E-3</v>
      </c>
      <c r="I5">
        <v>5.2293699999999999E-2</v>
      </c>
      <c r="N5">
        <v>-2.1294351811129499</v>
      </c>
      <c r="O5">
        <v>-2.7913139415868899</v>
      </c>
      <c r="P5">
        <v>-0.61886400973882505</v>
      </c>
      <c r="Q5">
        <v>-0.60974681999425295</v>
      </c>
      <c r="S5" t="s">
        <v>38</v>
      </c>
      <c r="U5">
        <f ca="1">N5+$J$2*O5+$K$2*P5+Q5</f>
        <v>-1.4781785592728358E-2</v>
      </c>
      <c r="V5">
        <f ca="1">EXP(U5)/(EXP($U$4)+EXP($U$5)+EXP($U$6))</f>
        <v>0.50810292989298389</v>
      </c>
    </row>
    <row r="6" spans="1:32" x14ac:dyDescent="0.3">
      <c r="A6">
        <v>34.403346894736842</v>
      </c>
      <c r="B6">
        <v>105.85257395215673</v>
      </c>
      <c r="C6">
        <f ca="1">both!F9</f>
        <v>-0.3005270940177362</v>
      </c>
      <c r="D6">
        <f ca="1">IF(C6&lt;0,0,C6)</f>
        <v>0</v>
      </c>
      <c r="E6">
        <f ca="1">D6</f>
        <v>0</v>
      </c>
      <c r="G6">
        <f ca="1">(both!G9-Characteristics_of_Arm_A!A6)/Characteristics_of_Arm_A!B6</f>
        <v>-0.32501190675142649</v>
      </c>
      <c r="H6">
        <v>7.15591E-2</v>
      </c>
      <c r="I6">
        <v>-8.66093E-2</v>
      </c>
      <c r="N6">
        <v>-1.2145475807288</v>
      </c>
      <c r="O6">
        <v>-0.96099274547371905</v>
      </c>
      <c r="P6">
        <v>2.6603038865409299</v>
      </c>
      <c r="Q6">
        <v>-0.97772360528884805</v>
      </c>
      <c r="S6" t="s">
        <v>39</v>
      </c>
      <c r="U6">
        <f t="shared" ref="U6" ca="1" si="0">N6+$J$2*O6+$K$2*P6+Q6</f>
        <v>-0.21106096108729688</v>
      </c>
      <c r="V6">
        <f ca="1">EXP(U6)/(EXP($U$4)+EXP($U$5)+EXP($U$6))</f>
        <v>0.41755023878021763</v>
      </c>
    </row>
    <row r="7" spans="1:32" x14ac:dyDescent="0.3">
      <c r="A7">
        <v>19.678121052631578</v>
      </c>
      <c r="B7">
        <v>13.034379587234605</v>
      </c>
      <c r="C7">
        <f ca="1">both!F10</f>
        <v>18.182970683318018</v>
      </c>
      <c r="D7">
        <f t="shared" ref="D7:D15" ca="1" si="1">IF(C7&lt;0,0,C7)</f>
        <v>18.182970683318018</v>
      </c>
      <c r="E7">
        <f t="shared" ref="E7:E15" ca="1" si="2">D7</f>
        <v>18.182970683318018</v>
      </c>
      <c r="G7">
        <f ca="1">(both!G10-Characteristics_of_Arm_A!A7)/Characteristics_of_Arm_A!B7</f>
        <v>-0.11470821141175415</v>
      </c>
      <c r="H7">
        <v>-0.15622</v>
      </c>
      <c r="I7">
        <v>0.17027</v>
      </c>
    </row>
    <row r="8" spans="1:32" x14ac:dyDescent="0.3">
      <c r="A8">
        <v>10.31390280701754</v>
      </c>
      <c r="B8">
        <v>9.4255937245829422</v>
      </c>
      <c r="C8">
        <f ca="1">both!F11</f>
        <v>8.0827771021976602</v>
      </c>
      <c r="D8">
        <f t="shared" ca="1" si="1"/>
        <v>8.0827771021976602</v>
      </c>
      <c r="E8">
        <f t="shared" ca="1" si="2"/>
        <v>8.0827771021976602</v>
      </c>
      <c r="G8">
        <f ca="1">(both!G11-Characteristics_of_Arm_A!A8)/Characteristics_of_Arm_A!B8</f>
        <v>-0.23670930129322976</v>
      </c>
      <c r="H8">
        <v>-0.25723499999999999</v>
      </c>
      <c r="I8">
        <v>-6.1775900000000002E-2</v>
      </c>
      <c r="V8">
        <f ca="1">1-IF(V5&lt;0.5,0,1)</f>
        <v>0</v>
      </c>
    </row>
    <row r="9" spans="1:32" x14ac:dyDescent="0.3">
      <c r="A9">
        <v>11.296588421052634</v>
      </c>
      <c r="B9">
        <v>9.6437413134336616</v>
      </c>
      <c r="C9">
        <f ca="1">both!F12</f>
        <v>24.068787965242045</v>
      </c>
      <c r="D9">
        <f t="shared" ca="1" si="1"/>
        <v>24.068787965242045</v>
      </c>
      <c r="E9">
        <f t="shared" ca="1" si="2"/>
        <v>24.068787965242045</v>
      </c>
      <c r="G9">
        <f ca="1">(both!G12-Characteristics_of_Arm_A!A9)/Characteristics_of_Arm_A!B9</f>
        <v>1.3244029603321927</v>
      </c>
      <c r="H9">
        <v>4.14835E-2</v>
      </c>
      <c r="I9">
        <v>0.29659799999999997</v>
      </c>
    </row>
    <row r="10" spans="1:32" x14ac:dyDescent="0.3">
      <c r="A10">
        <v>107.45684736842107</v>
      </c>
      <c r="B10">
        <v>285.4351914867413</v>
      </c>
      <c r="C10">
        <f ca="1">both!F13</f>
        <v>90.912955752320187</v>
      </c>
      <c r="D10">
        <f t="shared" ca="1" si="1"/>
        <v>90.912955752320187</v>
      </c>
      <c r="E10">
        <f t="shared" ca="1" si="2"/>
        <v>90.912955752320187</v>
      </c>
      <c r="G10">
        <f ca="1">(both!G13-Characteristics_of_Arm_A!A10)/Characteristics_of_Arm_A!B10</f>
        <v>-5.7960237943783313E-2</v>
      </c>
      <c r="H10">
        <v>0.21241299999999999</v>
      </c>
      <c r="I10">
        <v>1.43541E-2</v>
      </c>
    </row>
    <row r="11" spans="1:32" x14ac:dyDescent="0.3">
      <c r="A11">
        <v>14.288778771929827</v>
      </c>
      <c r="B11">
        <v>10.975156617404352</v>
      </c>
      <c r="C11">
        <f ca="1">both!F14</f>
        <v>23.206181766928921</v>
      </c>
      <c r="D11">
        <f t="shared" ca="1" si="1"/>
        <v>23.206181766928921</v>
      </c>
      <c r="E11">
        <f t="shared" ca="1" si="2"/>
        <v>23.206181766928921</v>
      </c>
      <c r="G11">
        <f ca="1">(both!G14-Characteristics_of_Arm_A!A11)/Characteristics_of_Arm_A!B11</f>
        <v>0.81250804028235168</v>
      </c>
      <c r="H11">
        <v>0.189775</v>
      </c>
      <c r="I11">
        <v>-0.31123499999999998</v>
      </c>
    </row>
    <row r="12" spans="1:32" x14ac:dyDescent="0.3">
      <c r="A12">
        <v>882.46901754385976</v>
      </c>
      <c r="B12">
        <v>605.97929953583969</v>
      </c>
      <c r="C12">
        <f ca="1">both!F15</f>
        <v>-888.43011486134503</v>
      </c>
      <c r="D12">
        <f t="shared" ca="1" si="1"/>
        <v>0</v>
      </c>
      <c r="E12">
        <f t="shared" ca="1" si="2"/>
        <v>0</v>
      </c>
      <c r="G12">
        <f ca="1">(both!G15-Characteristics_of_Arm_A!A12)/Characteristics_of_Arm_A!B12</f>
        <v>-1.4562692458633524</v>
      </c>
      <c r="H12">
        <v>9.1671299999999997E-2</v>
      </c>
      <c r="I12">
        <v>-5.23495E-2</v>
      </c>
    </row>
    <row r="13" spans="1:32" x14ac:dyDescent="0.3">
      <c r="A13">
        <v>524.99357719298246</v>
      </c>
      <c r="B13">
        <v>403.9494996551802</v>
      </c>
      <c r="C13">
        <f ca="1">both!F16</f>
        <v>-141.64237306825328</v>
      </c>
      <c r="D13">
        <f t="shared" ca="1" si="1"/>
        <v>0</v>
      </c>
      <c r="E13">
        <f t="shared" ca="1" si="2"/>
        <v>0</v>
      </c>
      <c r="G13">
        <f ca="1">(both!G16-Characteristics_of_Arm_A!A13)/Characteristics_of_Arm_A!B13</f>
        <v>-1.2996515100058994</v>
      </c>
      <c r="H13">
        <v>0.33912599999999998</v>
      </c>
      <c r="I13">
        <v>-0.150946</v>
      </c>
    </row>
    <row r="14" spans="1:32" x14ac:dyDescent="0.3">
      <c r="A14">
        <v>149.18438771929817</v>
      </c>
      <c r="B14">
        <v>88.140305969899032</v>
      </c>
      <c r="C14">
        <f ca="1">both!F17</f>
        <v>100.79245136543244</v>
      </c>
      <c r="D14">
        <f t="shared" ca="1" si="1"/>
        <v>100.79245136543244</v>
      </c>
      <c r="E14">
        <f t="shared" ca="1" si="2"/>
        <v>100.79245136543244</v>
      </c>
      <c r="G14">
        <f ca="1">(both!G17-Characteristics_of_Arm_A!A14)/Characteristics_of_Arm_A!B14</f>
        <v>-0.54903299712156839</v>
      </c>
      <c r="H14">
        <v>0.28649999999999998</v>
      </c>
      <c r="I14">
        <v>-0.45959100000000003</v>
      </c>
    </row>
    <row r="15" spans="1:32" x14ac:dyDescent="0.3">
      <c r="A15">
        <v>324.32082456140347</v>
      </c>
      <c r="B15">
        <v>275.81250809875115</v>
      </c>
      <c r="C15">
        <f ca="1">both!F18</f>
        <v>186.87351143371561</v>
      </c>
      <c r="D15">
        <f t="shared" ca="1" si="1"/>
        <v>186.87351143371561</v>
      </c>
      <c r="E15">
        <f t="shared" ca="1" si="2"/>
        <v>186.87351143371561</v>
      </c>
      <c r="G15">
        <f ca="1">(both!G18-Characteristics_of_Arm_A!A15)/Characteristics_of_Arm_A!B15</f>
        <v>-0.49833604021495864</v>
      </c>
      <c r="H15">
        <v>-0.18897600000000001</v>
      </c>
      <c r="I15">
        <v>0.170625</v>
      </c>
    </row>
    <row r="16" spans="1:32" x14ac:dyDescent="0.3">
      <c r="A16">
        <v>134.24819298245612</v>
      </c>
      <c r="B16">
        <v>323.96404016927335</v>
      </c>
      <c r="C16">
        <f ca="1">both!F19</f>
        <v>55.354669599123554</v>
      </c>
      <c r="D16">
        <f t="shared" ref="D16:D21" ca="1" si="3">IF(C16&lt;0,0,C16)</f>
        <v>55.354669599123554</v>
      </c>
      <c r="E16">
        <f t="shared" ref="E16:E21" ca="1" si="4">D16</f>
        <v>55.354669599123554</v>
      </c>
      <c r="G16">
        <f ca="1">(both!G19-Characteristics_of_Arm_A!A16)/Characteristics_of_Arm_A!B16</f>
        <v>-0.24352555716403024</v>
      </c>
      <c r="H16">
        <v>0.157995</v>
      </c>
      <c r="I16">
        <v>-0.190472</v>
      </c>
    </row>
    <row r="17" spans="1:9" x14ac:dyDescent="0.3">
      <c r="A17">
        <v>6.5184619298245599</v>
      </c>
      <c r="B17">
        <v>6.8124583186457572</v>
      </c>
      <c r="C17">
        <f ca="1">both!F20</f>
        <v>14.648014265295021</v>
      </c>
      <c r="D17">
        <f t="shared" ca="1" si="3"/>
        <v>14.648014265295021</v>
      </c>
      <c r="E17">
        <f t="shared" ca="1" si="4"/>
        <v>14.648014265295021</v>
      </c>
      <c r="G17">
        <f ca="1">(both!G20-Characteristics_of_Arm_A!A17)/Characteristics_of_Arm_A!B17</f>
        <v>1.1933360844527747</v>
      </c>
      <c r="H17">
        <v>-0.54406699999999997</v>
      </c>
      <c r="I17">
        <v>-0.33599200000000001</v>
      </c>
    </row>
    <row r="18" spans="1:9" x14ac:dyDescent="0.3">
      <c r="A18">
        <v>3.3737162631578959</v>
      </c>
      <c r="B18">
        <v>9.342447578281396</v>
      </c>
      <c r="C18">
        <f ca="1">both!F21</f>
        <v>1.9088304013172557</v>
      </c>
      <c r="D18">
        <f t="shared" ca="1" si="3"/>
        <v>1.9088304013172557</v>
      </c>
      <c r="E18">
        <f t="shared" ca="1" si="4"/>
        <v>1.9088304013172557</v>
      </c>
      <c r="G18">
        <f ca="1">(both!G21-Characteristics_of_Arm_A!A18)/Characteristics_of_Arm_A!B18</f>
        <v>-0.15679893834738706</v>
      </c>
      <c r="H18">
        <v>-0.22899600000000001</v>
      </c>
      <c r="I18">
        <v>-0.100203</v>
      </c>
    </row>
    <row r="19" spans="1:9" x14ac:dyDescent="0.3">
      <c r="A19">
        <v>851.34677192982485</v>
      </c>
      <c r="B19">
        <v>1460.1062913217909</v>
      </c>
      <c r="C19">
        <f ca="1">both!F22</f>
        <v>642.69943215521232</v>
      </c>
      <c r="D19">
        <f t="shared" ca="1" si="3"/>
        <v>642.69943215521232</v>
      </c>
      <c r="E19">
        <f t="shared" ca="1" si="4"/>
        <v>642.69943215521232</v>
      </c>
      <c r="G19">
        <f ca="1">(both!G22-Characteristics_of_Arm_A!A19)/Characteristics_of_Arm_A!B19</f>
        <v>-0.14289873347900603</v>
      </c>
      <c r="H19">
        <v>-0.16844400000000001</v>
      </c>
      <c r="I19">
        <v>-0.27041799999999999</v>
      </c>
    </row>
    <row r="20" spans="1:9" x14ac:dyDescent="0.3">
      <c r="A20">
        <v>442.58656140350871</v>
      </c>
      <c r="B20">
        <v>201.08556177775256</v>
      </c>
      <c r="C20">
        <f ca="1">both!F23</f>
        <v>171.71700407465525</v>
      </c>
      <c r="D20">
        <f t="shared" ca="1" si="3"/>
        <v>171.71700407465525</v>
      </c>
      <c r="E20">
        <f t="shared" ca="1" si="4"/>
        <v>171.71700407465525</v>
      </c>
      <c r="G20">
        <f ca="1">(both!G23-Characteristics_of_Arm_A!A20)/Characteristics_of_Arm_A!B20</f>
        <v>-1.3470363308740627</v>
      </c>
      <c r="H20">
        <v>-4.6897399999999999E-2</v>
      </c>
      <c r="I20">
        <v>-2.0779000000000001E-3</v>
      </c>
    </row>
    <row r="21" spans="1:9" x14ac:dyDescent="0.3">
      <c r="A21">
        <v>10.607938421052632</v>
      </c>
      <c r="B21">
        <v>3.9829059178434267</v>
      </c>
      <c r="C21">
        <f ca="1">both!F24</f>
        <v>-10.222337321817365</v>
      </c>
      <c r="D21">
        <f t="shared" ca="1" si="3"/>
        <v>0</v>
      </c>
      <c r="E21">
        <f t="shared" ca="1" si="4"/>
        <v>0</v>
      </c>
      <c r="G21">
        <f ca="1">(both!G24-Characteristics_of_Arm_A!A21)/Characteristics_of_Arm_A!B21</f>
        <v>-2.6633665569475409</v>
      </c>
      <c r="H21">
        <v>4.0248699999999998E-2</v>
      </c>
      <c r="I21">
        <v>0.15793299999999999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2DEE3-2F5B-4339-81E4-A6DC2807511C}">
  <sheetPr codeName="Sheet4"/>
  <dimension ref="A2:N1012"/>
  <sheetViews>
    <sheetView topLeftCell="A11" workbookViewId="0">
      <selection activeCell="F25" sqref="F25"/>
    </sheetView>
  </sheetViews>
  <sheetFormatPr defaultRowHeight="14.4" x14ac:dyDescent="0.3"/>
  <cols>
    <col min="5" max="5" width="12" bestFit="1" customWidth="1"/>
  </cols>
  <sheetData>
    <row r="2" spans="1:14" x14ac:dyDescent="0.3">
      <c r="B2" s="2" t="s">
        <v>26</v>
      </c>
      <c r="C2" s="2" t="s">
        <v>46</v>
      </c>
    </row>
    <row r="4" spans="1:14" x14ac:dyDescent="0.3">
      <c r="B4" s="2" t="s">
        <v>21</v>
      </c>
      <c r="C4" s="2" t="s">
        <v>25</v>
      </c>
      <c r="D4" s="2" t="s">
        <v>22</v>
      </c>
      <c r="E4" s="2" t="s">
        <v>23</v>
      </c>
      <c r="F4" s="2" t="s">
        <v>27</v>
      </c>
    </row>
    <row r="5" spans="1:14" x14ac:dyDescent="0.3">
      <c r="A5" s="2" t="s">
        <v>0</v>
      </c>
      <c r="B5" t="s">
        <v>43</v>
      </c>
      <c r="C5">
        <f t="array" ref="C5:C24">Initial!D5:D24</f>
        <v>1</v>
      </c>
      <c r="D5" t="s">
        <v>24</v>
      </c>
      <c r="E5" t="s">
        <v>24</v>
      </c>
      <c r="G5">
        <f>Characteristics_of_Arm_B!E2</f>
        <v>1</v>
      </c>
      <c r="L5" t="s">
        <v>42</v>
      </c>
      <c r="M5">
        <v>1000</v>
      </c>
    </row>
    <row r="6" spans="1:14" x14ac:dyDescent="0.3">
      <c r="A6" s="2" t="s">
        <v>1</v>
      </c>
      <c r="C6">
        <v>2</v>
      </c>
      <c r="D6" t="s">
        <v>24</v>
      </c>
      <c r="E6" t="s">
        <v>24</v>
      </c>
      <c r="G6">
        <f>Characteristics_of_Arm_B!E3</f>
        <v>2</v>
      </c>
      <c r="L6" t="s">
        <v>41</v>
      </c>
      <c r="M6">
        <f>SUM(M12:M1012)/M5</f>
        <v>0.155</v>
      </c>
      <c r="N6" t="str">
        <f>IF(M6&gt;M7,"Benefited","Critical Case")</f>
        <v>Critical Case</v>
      </c>
    </row>
    <row r="7" spans="1:14" x14ac:dyDescent="0.3">
      <c r="A7" s="2" t="s">
        <v>2</v>
      </c>
      <c r="B7" t="s">
        <v>44</v>
      </c>
      <c r="C7">
        <v>2</v>
      </c>
      <c r="D7" t="s">
        <v>24</v>
      </c>
      <c r="E7" t="s">
        <v>24</v>
      </c>
      <c r="G7">
        <f>Characteristics_of_Arm_B!E4</f>
        <v>2</v>
      </c>
      <c r="L7" t="s">
        <v>38</v>
      </c>
      <c r="M7">
        <f>1-M6</f>
        <v>0.84499999999999997</v>
      </c>
    </row>
    <row r="8" spans="1:14" x14ac:dyDescent="0.3">
      <c r="A8" s="2" t="s">
        <v>3</v>
      </c>
      <c r="B8" t="s">
        <v>45</v>
      </c>
      <c r="C8">
        <v>1</v>
      </c>
      <c r="D8" t="s">
        <v>24</v>
      </c>
      <c r="E8" t="s">
        <v>24</v>
      </c>
      <c r="G8">
        <f>Characteristics_of_Arm_B!E5</f>
        <v>1</v>
      </c>
    </row>
    <row r="9" spans="1:14" x14ac:dyDescent="0.3">
      <c r="A9" s="2" t="s">
        <v>4</v>
      </c>
      <c r="C9">
        <v>4.2000000000000003E-2</v>
      </c>
      <c r="D9">
        <v>-6.8907300000000005E-2</v>
      </c>
      <c r="E9">
        <v>0.39909270000000002</v>
      </c>
      <c r="F9">
        <f ca="1">C9+NORMINV(RAND(),0,ABS(5*(E9)))</f>
        <v>4.1935118157750724</v>
      </c>
      <c r="G9">
        <f ca="1">Characteristics_of_Arm_B!E6</f>
        <v>4.1935118157750724</v>
      </c>
    </row>
    <row r="10" spans="1:14" x14ac:dyDescent="0.3">
      <c r="A10" s="2" t="s">
        <v>5</v>
      </c>
      <c r="C10">
        <v>18.12</v>
      </c>
      <c r="D10">
        <v>-1.56575</v>
      </c>
      <c r="E10">
        <v>0.21375</v>
      </c>
      <c r="F10">
        <f t="shared" ref="F10:F24" ca="1" si="0">C10+NORMINV(RAND(),0,ABS(5*(E10)))</f>
        <v>18.914965826320017</v>
      </c>
      <c r="G10">
        <f ca="1">Characteristics_of_Arm_B!E7</f>
        <v>18.914965826320017</v>
      </c>
    </row>
    <row r="11" spans="1:14" x14ac:dyDescent="0.3">
      <c r="A11" s="2" t="s">
        <v>6</v>
      </c>
      <c r="C11">
        <v>8.69</v>
      </c>
      <c r="D11">
        <v>-1.0318750000000001</v>
      </c>
      <c r="E11">
        <v>9.4125E-2</v>
      </c>
      <c r="F11">
        <f t="shared" ca="1" si="0"/>
        <v>8.6237679257890516</v>
      </c>
      <c r="G11">
        <f ca="1">Characteristics_of_Arm_B!E8</f>
        <v>8.6237679257890516</v>
      </c>
    </row>
    <row r="12" spans="1:14" x14ac:dyDescent="0.3">
      <c r="A12" s="2" t="s">
        <v>7</v>
      </c>
      <c r="C12">
        <v>8.1300000000000008</v>
      </c>
      <c r="D12">
        <v>-0.59289400000000003</v>
      </c>
      <c r="E12">
        <v>0.567106</v>
      </c>
      <c r="F12">
        <f t="shared" ca="1" si="0"/>
        <v>5.0281271207020612</v>
      </c>
      <c r="G12">
        <f ca="1">Characteristics_of_Arm_B!E9</f>
        <v>5.0281271207020612</v>
      </c>
      <c r="L12">
        <v>0</v>
      </c>
      <c r="M12">
        <v>0</v>
      </c>
      <c r="N12">
        <v>0.10361664866468286</v>
      </c>
    </row>
    <row r="13" spans="1:14" x14ac:dyDescent="0.3">
      <c r="A13" s="2" t="s">
        <v>8</v>
      </c>
      <c r="C13">
        <v>23.18</v>
      </c>
      <c r="D13">
        <v>-5.9267799999999999</v>
      </c>
      <c r="E13">
        <v>2.7892199999999998</v>
      </c>
      <c r="F13">
        <f t="shared" ca="1" si="0"/>
        <v>18.137339392946942</v>
      </c>
      <c r="G13">
        <f ca="1">Characteristics_of_Arm_B!E10</f>
        <v>18.137339392946942</v>
      </c>
      <c r="L13">
        <v>1</v>
      </c>
      <c r="M13">
        <v>0</v>
      </c>
      <c r="N13">
        <v>1.4218814704110736E-4</v>
      </c>
    </row>
    <row r="14" spans="1:14" x14ac:dyDescent="0.3">
      <c r="A14" s="2" t="s">
        <v>9</v>
      </c>
      <c r="C14">
        <v>14.33</v>
      </c>
      <c r="D14">
        <v>-0.94830999999999999</v>
      </c>
      <c r="E14">
        <v>0.80030999999999997</v>
      </c>
      <c r="F14">
        <f t="shared" ca="1" si="0"/>
        <v>26.926473214342067</v>
      </c>
      <c r="G14">
        <f ca="1">Characteristics_of_Arm_B!E11</f>
        <v>26.926473214342067</v>
      </c>
      <c r="L14">
        <v>2</v>
      </c>
      <c r="M14">
        <v>1</v>
      </c>
      <c r="N14">
        <v>0.72882056037398346</v>
      </c>
    </row>
    <row r="15" spans="1:14" x14ac:dyDescent="0.3">
      <c r="A15" s="2" t="s">
        <v>10</v>
      </c>
      <c r="C15">
        <v>87</v>
      </c>
      <c r="D15">
        <v>-38.5</v>
      </c>
      <c r="E15">
        <v>85.3</v>
      </c>
      <c r="F15">
        <f t="shared" ca="1" si="0"/>
        <v>-195.28117848523209</v>
      </c>
      <c r="G15">
        <f ca="1">Characteristics_of_Arm_B!E12</f>
        <v>0</v>
      </c>
      <c r="L15">
        <v>3</v>
      </c>
      <c r="M15">
        <v>1</v>
      </c>
      <c r="N15">
        <v>0.99993957116975918</v>
      </c>
    </row>
    <row r="16" spans="1:14" x14ac:dyDescent="0.3">
      <c r="A16" s="2" t="s">
        <v>11</v>
      </c>
      <c r="C16">
        <v>48.9</v>
      </c>
      <c r="D16">
        <v>-9.1051199999999994</v>
      </c>
      <c r="E16">
        <v>51.524920000000002</v>
      </c>
      <c r="F16">
        <f t="shared" ca="1" si="0"/>
        <v>171.22265378152525</v>
      </c>
      <c r="G16">
        <f ca="1">Characteristics_of_Arm_B!E13</f>
        <v>171.22265378152525</v>
      </c>
      <c r="L16">
        <v>4</v>
      </c>
      <c r="M16">
        <v>0</v>
      </c>
      <c r="N16">
        <v>0.13562451929022942</v>
      </c>
    </row>
    <row r="17" spans="1:14" x14ac:dyDescent="0.3">
      <c r="A17" s="2" t="s">
        <v>12</v>
      </c>
      <c r="C17">
        <v>89</v>
      </c>
      <c r="D17">
        <v>-28.933800000000002</v>
      </c>
      <c r="E17">
        <v>-7.3338000000000001</v>
      </c>
      <c r="F17">
        <f t="shared" ca="1" si="0"/>
        <v>122.67293233394442</v>
      </c>
      <c r="G17">
        <f ca="1">Characteristics_of_Arm_B!E14</f>
        <v>122.67293233394442</v>
      </c>
      <c r="L17">
        <v>5</v>
      </c>
      <c r="M17">
        <v>1</v>
      </c>
      <c r="N17">
        <v>0.23695672390389738</v>
      </c>
    </row>
    <row r="18" spans="1:14" x14ac:dyDescent="0.3">
      <c r="A18" s="2" t="s">
        <v>13</v>
      </c>
      <c r="C18">
        <v>38</v>
      </c>
      <c r="D18">
        <v>-26.7</v>
      </c>
      <c r="E18">
        <v>19.3</v>
      </c>
      <c r="F18">
        <f t="shared" ca="1" si="0"/>
        <v>-44.528770101896839</v>
      </c>
      <c r="G18">
        <f ca="1">Characteristics_of_Arm_B!E15</f>
        <v>0</v>
      </c>
      <c r="L18">
        <v>6</v>
      </c>
      <c r="M18">
        <v>0</v>
      </c>
      <c r="N18">
        <v>2.1836102770840957E-2</v>
      </c>
    </row>
    <row r="19" spans="1:14" x14ac:dyDescent="0.3">
      <c r="A19" s="2" t="s">
        <v>15</v>
      </c>
      <c r="C19">
        <v>66</v>
      </c>
      <c r="D19">
        <v>-27.590299999999999</v>
      </c>
      <c r="E19">
        <v>6.6097000000000001</v>
      </c>
      <c r="F19">
        <f t="shared" ca="1" si="0"/>
        <v>96.725960927713601</v>
      </c>
      <c r="G19">
        <f ca="1">Characteristics_of_Arm_B!E16</f>
        <v>96.725960927713601</v>
      </c>
      <c r="H19" s="30"/>
      <c r="L19">
        <v>7</v>
      </c>
      <c r="M19">
        <v>0</v>
      </c>
      <c r="N19">
        <v>3.090447180119236E-3</v>
      </c>
    </row>
    <row r="20" spans="1:14" x14ac:dyDescent="0.3">
      <c r="A20" s="2" t="s">
        <v>16</v>
      </c>
      <c r="C20">
        <v>10.67</v>
      </c>
      <c r="D20">
        <v>-0.69217700000000004</v>
      </c>
      <c r="E20">
        <v>0.36380499999999999</v>
      </c>
      <c r="F20">
        <f t="shared" ca="1" si="0"/>
        <v>13.73531927546909</v>
      </c>
      <c r="G20">
        <f ca="1">Characteristics_of_Arm_B!E17</f>
        <v>13.73531927546909</v>
      </c>
      <c r="L20">
        <v>8</v>
      </c>
      <c r="M20">
        <v>0</v>
      </c>
      <c r="N20">
        <v>0.65451562215051551</v>
      </c>
    </row>
    <row r="21" spans="1:14" x14ac:dyDescent="0.3">
      <c r="A21" s="2" t="s">
        <v>17</v>
      </c>
      <c r="C21">
        <v>0.94</v>
      </c>
      <c r="D21">
        <v>-0.123187</v>
      </c>
      <c r="E21">
        <v>0.34881299999999998</v>
      </c>
      <c r="F21">
        <f t="shared" ca="1" si="0"/>
        <v>0.41160287482672497</v>
      </c>
      <c r="G21">
        <f ca="1">Characteristics_of_Arm_B!E18</f>
        <v>0.41160287482672497</v>
      </c>
      <c r="L21">
        <v>9</v>
      </c>
      <c r="M21">
        <v>0</v>
      </c>
      <c r="N21">
        <v>5.5323437881789096E-3</v>
      </c>
    </row>
    <row r="22" spans="1:14" x14ac:dyDescent="0.3">
      <c r="A22" s="2" t="s">
        <v>18</v>
      </c>
      <c r="C22">
        <v>697.8</v>
      </c>
      <c r="D22">
        <v>-21.064800000000002</v>
      </c>
      <c r="E22">
        <v>103.5552</v>
      </c>
      <c r="F22">
        <f t="shared" ca="1" si="0"/>
        <v>1178.6163733520737</v>
      </c>
      <c r="G22">
        <f ca="1">Characteristics_of_Arm_B!E19</f>
        <v>1178.6163733520737</v>
      </c>
      <c r="L22">
        <v>10</v>
      </c>
      <c r="M22">
        <v>0</v>
      </c>
      <c r="N22">
        <v>0.27927161496380037</v>
      </c>
    </row>
    <row r="23" spans="1:14" x14ac:dyDescent="0.3">
      <c r="A23" s="2" t="s">
        <v>19</v>
      </c>
      <c r="C23">
        <v>243</v>
      </c>
      <c r="D23">
        <v>-14.142799999999999</v>
      </c>
      <c r="E23">
        <v>42.857199999999999</v>
      </c>
      <c r="F23">
        <f t="shared" ca="1" si="0"/>
        <v>16.663413438101088</v>
      </c>
      <c r="G23">
        <f ca="1">Characteristics_of_Arm_B!E20</f>
        <v>16.663413438101088</v>
      </c>
      <c r="L23">
        <v>11</v>
      </c>
      <c r="M23">
        <v>1</v>
      </c>
      <c r="N23">
        <v>2.8627897208390783E-2</v>
      </c>
    </row>
    <row r="24" spans="1:14" x14ac:dyDescent="0.3">
      <c r="A24" s="2" t="s">
        <v>20</v>
      </c>
      <c r="C24">
        <v>2.6</v>
      </c>
      <c r="D24">
        <v>-6.7480999999999999E-2</v>
      </c>
      <c r="E24">
        <v>1.3574809999999999</v>
      </c>
      <c r="F24">
        <f t="shared" ca="1" si="0"/>
        <v>-5.927265686628731</v>
      </c>
      <c r="G24">
        <f ca="1">Characteristics_of_Arm_B!E21</f>
        <v>0</v>
      </c>
      <c r="L24">
        <v>12</v>
      </c>
      <c r="M24">
        <v>0</v>
      </c>
      <c r="N24">
        <v>1.7398754256322497E-2</v>
      </c>
    </row>
    <row r="25" spans="1:14" x14ac:dyDescent="0.3">
      <c r="L25">
        <v>13</v>
      </c>
      <c r="M25">
        <v>0</v>
      </c>
      <c r="N25">
        <v>4.721234370110251E-3</v>
      </c>
    </row>
    <row r="26" spans="1:14" x14ac:dyDescent="0.3">
      <c r="L26">
        <v>14</v>
      </c>
      <c r="M26">
        <v>1</v>
      </c>
      <c r="N26">
        <v>2.7028453460215471E-2</v>
      </c>
    </row>
    <row r="27" spans="1:14" x14ac:dyDescent="0.3">
      <c r="L27">
        <v>15</v>
      </c>
      <c r="M27">
        <v>0</v>
      </c>
      <c r="N27">
        <v>1.8939703186134863E-4</v>
      </c>
    </row>
    <row r="28" spans="1:14" x14ac:dyDescent="0.3">
      <c r="E28" t="s">
        <v>40</v>
      </c>
      <c r="F28" t="s">
        <v>40</v>
      </c>
      <c r="L28">
        <v>16</v>
      </c>
      <c r="M28">
        <v>0</v>
      </c>
      <c r="N28">
        <v>0.35362800831437025</v>
      </c>
    </row>
    <row r="29" spans="1:14" x14ac:dyDescent="0.3">
      <c r="E29" t="s">
        <v>41</v>
      </c>
      <c r="F29" t="s">
        <v>38</v>
      </c>
      <c r="L29">
        <v>17</v>
      </c>
      <c r="M29">
        <v>0</v>
      </c>
      <c r="N29">
        <v>7.5351941302850334E-2</v>
      </c>
    </row>
    <row r="30" spans="1:14" x14ac:dyDescent="0.3">
      <c r="E30">
        <f ca="1">Characteristics_of_Arm_B!V8</f>
        <v>0</v>
      </c>
      <c r="F30">
        <f ca="1">Characteristics_of_Arm_B!V5</f>
        <v>0.99980447753228774</v>
      </c>
      <c r="L30">
        <v>18</v>
      </c>
      <c r="M30">
        <v>0</v>
      </c>
      <c r="N30">
        <v>3.2546972864469816E-3</v>
      </c>
    </row>
    <row r="31" spans="1:14" x14ac:dyDescent="0.3">
      <c r="D31" t="s">
        <v>82</v>
      </c>
      <c r="E31">
        <f ca="1">Characteristics_of_Arm_B!Y4</f>
        <v>1.9552246771220667E-4</v>
      </c>
      <c r="L31">
        <v>19</v>
      </c>
      <c r="M31">
        <v>0</v>
      </c>
      <c r="N31">
        <v>0.70058466726944624</v>
      </c>
    </row>
    <row r="32" spans="1:14" x14ac:dyDescent="0.3">
      <c r="L32">
        <v>20</v>
      </c>
      <c r="M32">
        <v>0</v>
      </c>
      <c r="N32">
        <v>0.43207203376402326</v>
      </c>
    </row>
    <row r="33" spans="12:14" x14ac:dyDescent="0.3">
      <c r="L33">
        <v>21</v>
      </c>
      <c r="M33">
        <v>0</v>
      </c>
      <c r="N33">
        <v>3.6045292334354765E-4</v>
      </c>
    </row>
    <row r="34" spans="12:14" x14ac:dyDescent="0.3">
      <c r="L34">
        <v>22</v>
      </c>
      <c r="M34">
        <v>0</v>
      </c>
      <c r="N34">
        <v>1.8346638590022025E-3</v>
      </c>
    </row>
    <row r="35" spans="12:14" x14ac:dyDescent="0.3">
      <c r="L35">
        <v>23</v>
      </c>
      <c r="M35">
        <v>0</v>
      </c>
      <c r="N35">
        <v>0.10107632566551411</v>
      </c>
    </row>
    <row r="36" spans="12:14" x14ac:dyDescent="0.3">
      <c r="L36">
        <v>24</v>
      </c>
      <c r="M36">
        <v>0</v>
      </c>
      <c r="N36">
        <v>4.2404086515868454E-3</v>
      </c>
    </row>
    <row r="37" spans="12:14" x14ac:dyDescent="0.3">
      <c r="L37">
        <v>25</v>
      </c>
      <c r="M37">
        <v>0</v>
      </c>
      <c r="N37">
        <v>8.6120377732770833E-4</v>
      </c>
    </row>
    <row r="38" spans="12:14" x14ac:dyDescent="0.3">
      <c r="L38">
        <v>26</v>
      </c>
      <c r="M38">
        <v>0</v>
      </c>
      <c r="N38">
        <v>5.2797107563802344E-5</v>
      </c>
    </row>
    <row r="39" spans="12:14" x14ac:dyDescent="0.3">
      <c r="L39">
        <v>27</v>
      </c>
      <c r="M39">
        <v>1</v>
      </c>
      <c r="N39">
        <v>8.2693931433835244E-2</v>
      </c>
    </row>
    <row r="40" spans="12:14" x14ac:dyDescent="0.3">
      <c r="L40">
        <v>28</v>
      </c>
      <c r="M40">
        <v>0</v>
      </c>
      <c r="N40">
        <v>1.7752723857614665E-2</v>
      </c>
    </row>
    <row r="41" spans="12:14" x14ac:dyDescent="0.3">
      <c r="L41">
        <v>29</v>
      </c>
      <c r="M41">
        <v>1</v>
      </c>
      <c r="N41">
        <v>1.9987722983106138E-2</v>
      </c>
    </row>
    <row r="42" spans="12:14" x14ac:dyDescent="0.3">
      <c r="L42">
        <v>30</v>
      </c>
      <c r="M42">
        <v>0</v>
      </c>
      <c r="N42">
        <v>2.2226157181465001E-4</v>
      </c>
    </row>
    <row r="43" spans="12:14" x14ac:dyDescent="0.3">
      <c r="L43">
        <v>31</v>
      </c>
      <c r="M43">
        <v>0</v>
      </c>
      <c r="N43">
        <v>1.8142629872346661E-3</v>
      </c>
    </row>
    <row r="44" spans="12:14" x14ac:dyDescent="0.3">
      <c r="L44">
        <v>32</v>
      </c>
      <c r="M44">
        <v>0</v>
      </c>
      <c r="N44">
        <v>0.59970645024259428</v>
      </c>
    </row>
    <row r="45" spans="12:14" x14ac:dyDescent="0.3">
      <c r="L45">
        <v>33</v>
      </c>
      <c r="M45">
        <v>0</v>
      </c>
      <c r="N45">
        <v>8.7553966308495223E-3</v>
      </c>
    </row>
    <row r="46" spans="12:14" x14ac:dyDescent="0.3">
      <c r="L46">
        <v>34</v>
      </c>
      <c r="M46">
        <v>0</v>
      </c>
      <c r="N46">
        <v>0.57100501295557193</v>
      </c>
    </row>
    <row r="47" spans="12:14" x14ac:dyDescent="0.3">
      <c r="L47">
        <v>35</v>
      </c>
      <c r="M47">
        <v>0</v>
      </c>
      <c r="N47">
        <v>1.4408270293878562E-4</v>
      </c>
    </row>
    <row r="48" spans="12:14" x14ac:dyDescent="0.3">
      <c r="L48">
        <v>36</v>
      </c>
      <c r="M48">
        <v>0</v>
      </c>
      <c r="N48">
        <v>2.8295307624524244E-3</v>
      </c>
    </row>
    <row r="49" spans="12:14" x14ac:dyDescent="0.3">
      <c r="L49">
        <v>37</v>
      </c>
      <c r="M49">
        <v>1</v>
      </c>
      <c r="N49">
        <v>1.2064205822202714E-2</v>
      </c>
    </row>
    <row r="50" spans="12:14" x14ac:dyDescent="0.3">
      <c r="L50">
        <v>38</v>
      </c>
      <c r="M50">
        <v>0</v>
      </c>
      <c r="N50">
        <v>6.2141387022692975E-3</v>
      </c>
    </row>
    <row r="51" spans="12:14" x14ac:dyDescent="0.3">
      <c r="L51">
        <v>39</v>
      </c>
      <c r="M51">
        <v>0</v>
      </c>
      <c r="N51">
        <v>0.2729096416048663</v>
      </c>
    </row>
    <row r="52" spans="12:14" x14ac:dyDescent="0.3">
      <c r="L52">
        <v>40</v>
      </c>
      <c r="M52">
        <v>0</v>
      </c>
      <c r="N52">
        <v>6.8245829692196988E-2</v>
      </c>
    </row>
    <row r="53" spans="12:14" x14ac:dyDescent="0.3">
      <c r="L53">
        <v>41</v>
      </c>
      <c r="M53">
        <v>0</v>
      </c>
      <c r="N53">
        <v>3.1339094550475785E-5</v>
      </c>
    </row>
    <row r="54" spans="12:14" x14ac:dyDescent="0.3">
      <c r="L54">
        <v>42</v>
      </c>
      <c r="M54">
        <v>0</v>
      </c>
      <c r="N54">
        <v>2.6928440537522668E-3</v>
      </c>
    </row>
    <row r="55" spans="12:14" x14ac:dyDescent="0.3">
      <c r="L55">
        <v>43</v>
      </c>
      <c r="M55">
        <v>0</v>
      </c>
      <c r="N55">
        <v>4.9154095526653162E-3</v>
      </c>
    </row>
    <row r="56" spans="12:14" x14ac:dyDescent="0.3">
      <c r="L56">
        <v>44</v>
      </c>
      <c r="M56">
        <v>0</v>
      </c>
      <c r="N56">
        <v>2.1934438361157697E-3</v>
      </c>
    </row>
    <row r="57" spans="12:14" x14ac:dyDescent="0.3">
      <c r="L57">
        <v>45</v>
      </c>
      <c r="M57">
        <v>0</v>
      </c>
      <c r="N57">
        <v>1.6051903131713317E-2</v>
      </c>
    </row>
    <row r="58" spans="12:14" x14ac:dyDescent="0.3">
      <c r="L58">
        <v>46</v>
      </c>
      <c r="M58">
        <v>0</v>
      </c>
      <c r="N58">
        <v>4.8938575015464406E-2</v>
      </c>
    </row>
    <row r="59" spans="12:14" x14ac:dyDescent="0.3">
      <c r="L59">
        <v>47</v>
      </c>
      <c r="M59">
        <v>0</v>
      </c>
      <c r="N59">
        <v>0.36273104570995424</v>
      </c>
    </row>
    <row r="60" spans="12:14" x14ac:dyDescent="0.3">
      <c r="L60">
        <v>48</v>
      </c>
      <c r="M60">
        <v>0</v>
      </c>
      <c r="N60">
        <v>1.0102680871979174E-2</v>
      </c>
    </row>
    <row r="61" spans="12:14" x14ac:dyDescent="0.3">
      <c r="L61">
        <v>49</v>
      </c>
      <c r="M61">
        <v>0</v>
      </c>
      <c r="N61">
        <v>1.6857060178979924E-5</v>
      </c>
    </row>
    <row r="62" spans="12:14" x14ac:dyDescent="0.3">
      <c r="L62">
        <v>50</v>
      </c>
      <c r="M62">
        <v>0</v>
      </c>
      <c r="N62">
        <v>1.3977128025458689E-2</v>
      </c>
    </row>
    <row r="63" spans="12:14" x14ac:dyDescent="0.3">
      <c r="L63">
        <v>51</v>
      </c>
      <c r="M63">
        <v>1</v>
      </c>
      <c r="N63">
        <v>0.72083304223426059</v>
      </c>
    </row>
    <row r="64" spans="12:14" x14ac:dyDescent="0.3">
      <c r="L64">
        <v>52</v>
      </c>
      <c r="M64">
        <v>0</v>
      </c>
      <c r="N64">
        <v>1.8632364623125911E-3</v>
      </c>
    </row>
    <row r="65" spans="12:14" x14ac:dyDescent="0.3">
      <c r="L65">
        <v>53</v>
      </c>
      <c r="M65">
        <v>0</v>
      </c>
      <c r="N65">
        <v>0.26536456790057139</v>
      </c>
    </row>
    <row r="66" spans="12:14" x14ac:dyDescent="0.3">
      <c r="L66">
        <v>54</v>
      </c>
      <c r="M66">
        <v>0</v>
      </c>
      <c r="N66">
        <v>2.7646777511747241E-3</v>
      </c>
    </row>
    <row r="67" spans="12:14" x14ac:dyDescent="0.3">
      <c r="L67">
        <v>55</v>
      </c>
      <c r="M67">
        <v>0</v>
      </c>
      <c r="N67">
        <v>4.3103082316200046E-2</v>
      </c>
    </row>
    <row r="68" spans="12:14" x14ac:dyDescent="0.3">
      <c r="L68">
        <v>56</v>
      </c>
      <c r="M68">
        <v>0</v>
      </c>
      <c r="N68">
        <v>1.7265744376474799E-2</v>
      </c>
    </row>
    <row r="69" spans="12:14" x14ac:dyDescent="0.3">
      <c r="L69">
        <v>57</v>
      </c>
      <c r="M69">
        <v>0</v>
      </c>
      <c r="N69">
        <v>0.65270372377894037</v>
      </c>
    </row>
    <row r="70" spans="12:14" x14ac:dyDescent="0.3">
      <c r="L70">
        <v>58</v>
      </c>
      <c r="M70">
        <v>0</v>
      </c>
      <c r="N70">
        <v>0.36774033309159665</v>
      </c>
    </row>
    <row r="71" spans="12:14" x14ac:dyDescent="0.3">
      <c r="L71">
        <v>59</v>
      </c>
      <c r="M71">
        <v>1</v>
      </c>
      <c r="N71">
        <v>5.4181104841976994E-6</v>
      </c>
    </row>
    <row r="72" spans="12:14" x14ac:dyDescent="0.3">
      <c r="L72">
        <v>60</v>
      </c>
      <c r="M72">
        <v>1</v>
      </c>
      <c r="N72">
        <v>0.98971441142349248</v>
      </c>
    </row>
    <row r="73" spans="12:14" x14ac:dyDescent="0.3">
      <c r="L73">
        <v>61</v>
      </c>
      <c r="M73">
        <v>0</v>
      </c>
      <c r="N73">
        <v>0.19458313525499313</v>
      </c>
    </row>
    <row r="74" spans="12:14" x14ac:dyDescent="0.3">
      <c r="L74">
        <v>62</v>
      </c>
      <c r="M74">
        <v>0</v>
      </c>
      <c r="N74">
        <v>0.84367449385327176</v>
      </c>
    </row>
    <row r="75" spans="12:14" x14ac:dyDescent="0.3">
      <c r="L75">
        <v>63</v>
      </c>
      <c r="M75">
        <v>0</v>
      </c>
      <c r="N75">
        <v>2.6187442415469063E-3</v>
      </c>
    </row>
    <row r="76" spans="12:14" x14ac:dyDescent="0.3">
      <c r="L76">
        <v>64</v>
      </c>
      <c r="M76">
        <v>0</v>
      </c>
      <c r="N76">
        <v>4.005711409099901E-3</v>
      </c>
    </row>
    <row r="77" spans="12:14" x14ac:dyDescent="0.3">
      <c r="L77">
        <v>65</v>
      </c>
      <c r="M77">
        <v>0</v>
      </c>
      <c r="N77">
        <v>7.7560115847361618E-4</v>
      </c>
    </row>
    <row r="78" spans="12:14" x14ac:dyDescent="0.3">
      <c r="L78">
        <v>66</v>
      </c>
      <c r="M78">
        <v>0</v>
      </c>
      <c r="N78">
        <v>0.63762830541559568</v>
      </c>
    </row>
    <row r="79" spans="12:14" x14ac:dyDescent="0.3">
      <c r="L79">
        <v>67</v>
      </c>
      <c r="M79">
        <v>1</v>
      </c>
      <c r="N79">
        <v>9.8000587978814141E-2</v>
      </c>
    </row>
    <row r="80" spans="12:14" x14ac:dyDescent="0.3">
      <c r="L80">
        <v>68</v>
      </c>
      <c r="M80">
        <v>0</v>
      </c>
      <c r="N80">
        <v>0.6630234849656621</v>
      </c>
    </row>
    <row r="81" spans="12:14" x14ac:dyDescent="0.3">
      <c r="L81">
        <v>69</v>
      </c>
      <c r="M81">
        <v>0</v>
      </c>
      <c r="N81">
        <v>8.8631933722973011E-2</v>
      </c>
    </row>
    <row r="82" spans="12:14" x14ac:dyDescent="0.3">
      <c r="L82">
        <v>70</v>
      </c>
      <c r="M82">
        <v>0</v>
      </c>
      <c r="N82">
        <v>0.59903673512858069</v>
      </c>
    </row>
    <row r="83" spans="12:14" x14ac:dyDescent="0.3">
      <c r="L83">
        <v>71</v>
      </c>
      <c r="M83">
        <v>0</v>
      </c>
      <c r="N83">
        <v>0.12206204916402449</v>
      </c>
    </row>
    <row r="84" spans="12:14" x14ac:dyDescent="0.3">
      <c r="L84">
        <v>72</v>
      </c>
      <c r="M84">
        <v>0</v>
      </c>
      <c r="N84">
        <v>7.654434477092114E-3</v>
      </c>
    </row>
    <row r="85" spans="12:14" x14ac:dyDescent="0.3">
      <c r="L85">
        <v>73</v>
      </c>
      <c r="M85">
        <v>0</v>
      </c>
      <c r="N85">
        <v>4.2159994486115557E-3</v>
      </c>
    </row>
    <row r="86" spans="12:14" x14ac:dyDescent="0.3">
      <c r="L86">
        <v>74</v>
      </c>
      <c r="M86">
        <v>0</v>
      </c>
      <c r="N86">
        <v>9.0701931040993305E-2</v>
      </c>
    </row>
    <row r="87" spans="12:14" x14ac:dyDescent="0.3">
      <c r="L87">
        <v>75</v>
      </c>
      <c r="M87">
        <v>1</v>
      </c>
      <c r="N87">
        <v>4.0647782037171301E-2</v>
      </c>
    </row>
    <row r="88" spans="12:14" x14ac:dyDescent="0.3">
      <c r="L88">
        <v>76</v>
      </c>
      <c r="M88">
        <v>0</v>
      </c>
      <c r="N88">
        <v>0.15709595474170943</v>
      </c>
    </row>
    <row r="89" spans="12:14" x14ac:dyDescent="0.3">
      <c r="L89">
        <v>77</v>
      </c>
      <c r="M89">
        <v>0</v>
      </c>
      <c r="N89">
        <v>0.31285670217137362</v>
      </c>
    </row>
    <row r="90" spans="12:14" x14ac:dyDescent="0.3">
      <c r="L90">
        <v>78</v>
      </c>
      <c r="M90">
        <v>1</v>
      </c>
      <c r="N90">
        <v>8.4255250949402183E-4</v>
      </c>
    </row>
    <row r="91" spans="12:14" x14ac:dyDescent="0.3">
      <c r="L91">
        <v>79</v>
      </c>
      <c r="M91">
        <v>0</v>
      </c>
      <c r="N91">
        <v>0.39146114492954626</v>
      </c>
    </row>
    <row r="92" spans="12:14" x14ac:dyDescent="0.3">
      <c r="L92">
        <v>80</v>
      </c>
      <c r="M92">
        <v>0</v>
      </c>
      <c r="N92">
        <v>3.3312388947025977E-2</v>
      </c>
    </row>
    <row r="93" spans="12:14" x14ac:dyDescent="0.3">
      <c r="L93">
        <v>81</v>
      </c>
      <c r="M93">
        <v>0</v>
      </c>
      <c r="N93">
        <v>0.35135201983223874</v>
      </c>
    </row>
    <row r="94" spans="12:14" x14ac:dyDescent="0.3">
      <c r="L94">
        <v>82</v>
      </c>
      <c r="M94">
        <v>0</v>
      </c>
      <c r="N94">
        <v>4.4191345760214931E-5</v>
      </c>
    </row>
    <row r="95" spans="12:14" x14ac:dyDescent="0.3">
      <c r="L95">
        <v>83</v>
      </c>
      <c r="M95">
        <v>0</v>
      </c>
      <c r="N95">
        <v>2.8683830627552071E-4</v>
      </c>
    </row>
    <row r="96" spans="12:14" x14ac:dyDescent="0.3">
      <c r="L96">
        <v>84</v>
      </c>
      <c r="M96">
        <v>0</v>
      </c>
      <c r="N96">
        <v>1.2067385559209328E-2</v>
      </c>
    </row>
    <row r="97" spans="12:14" x14ac:dyDescent="0.3">
      <c r="L97">
        <v>85</v>
      </c>
      <c r="M97">
        <v>0</v>
      </c>
      <c r="N97">
        <v>4.4764006157383761E-2</v>
      </c>
    </row>
    <row r="98" spans="12:14" x14ac:dyDescent="0.3">
      <c r="L98">
        <v>86</v>
      </c>
      <c r="M98">
        <v>0</v>
      </c>
      <c r="N98">
        <v>8.1753138934619097E-6</v>
      </c>
    </row>
    <row r="99" spans="12:14" x14ac:dyDescent="0.3">
      <c r="L99">
        <v>87</v>
      </c>
      <c r="M99">
        <v>1</v>
      </c>
      <c r="N99">
        <v>1.2686090023263604E-4</v>
      </c>
    </row>
    <row r="100" spans="12:14" x14ac:dyDescent="0.3">
      <c r="L100">
        <v>88</v>
      </c>
      <c r="M100">
        <v>1</v>
      </c>
      <c r="N100">
        <v>0.65088404175042569</v>
      </c>
    </row>
    <row r="101" spans="12:14" x14ac:dyDescent="0.3">
      <c r="L101">
        <v>89</v>
      </c>
      <c r="M101">
        <v>0</v>
      </c>
      <c r="N101">
        <v>0.79175415691847362</v>
      </c>
    </row>
    <row r="102" spans="12:14" x14ac:dyDescent="0.3">
      <c r="L102">
        <v>90</v>
      </c>
      <c r="M102">
        <v>0</v>
      </c>
      <c r="N102">
        <v>0.68081594762953468</v>
      </c>
    </row>
    <row r="103" spans="12:14" x14ac:dyDescent="0.3">
      <c r="L103">
        <v>91</v>
      </c>
      <c r="M103">
        <v>0</v>
      </c>
      <c r="N103">
        <v>0.9349033627406198</v>
      </c>
    </row>
    <row r="104" spans="12:14" x14ac:dyDescent="0.3">
      <c r="L104">
        <v>92</v>
      </c>
      <c r="M104">
        <v>0</v>
      </c>
      <c r="N104">
        <v>4.7434218460314231E-3</v>
      </c>
    </row>
    <row r="105" spans="12:14" x14ac:dyDescent="0.3">
      <c r="L105">
        <v>93</v>
      </c>
      <c r="M105">
        <v>0</v>
      </c>
      <c r="N105">
        <v>1.5293368957581855E-4</v>
      </c>
    </row>
    <row r="106" spans="12:14" x14ac:dyDescent="0.3">
      <c r="L106">
        <v>94</v>
      </c>
      <c r="M106">
        <v>1</v>
      </c>
      <c r="N106">
        <v>0.89695462265980463</v>
      </c>
    </row>
    <row r="107" spans="12:14" x14ac:dyDescent="0.3">
      <c r="L107">
        <v>95</v>
      </c>
      <c r="M107">
        <v>0</v>
      </c>
      <c r="N107">
        <v>0.13758287116332776</v>
      </c>
    </row>
    <row r="108" spans="12:14" x14ac:dyDescent="0.3">
      <c r="L108">
        <v>96</v>
      </c>
      <c r="M108">
        <v>0</v>
      </c>
      <c r="N108">
        <v>0.23685120828537079</v>
      </c>
    </row>
    <row r="109" spans="12:14" x14ac:dyDescent="0.3">
      <c r="L109">
        <v>97</v>
      </c>
      <c r="M109">
        <v>0</v>
      </c>
      <c r="N109">
        <v>1.0718256266103468E-2</v>
      </c>
    </row>
    <row r="110" spans="12:14" x14ac:dyDescent="0.3">
      <c r="L110">
        <v>98</v>
      </c>
      <c r="M110">
        <v>1</v>
      </c>
      <c r="N110">
        <v>2.8270327214674007E-3</v>
      </c>
    </row>
    <row r="111" spans="12:14" x14ac:dyDescent="0.3">
      <c r="L111">
        <v>99</v>
      </c>
      <c r="M111">
        <v>0</v>
      </c>
      <c r="N111">
        <v>2.0646914114171726E-2</v>
      </c>
    </row>
    <row r="112" spans="12:14" x14ac:dyDescent="0.3">
      <c r="L112">
        <v>100</v>
      </c>
      <c r="M112">
        <v>0</v>
      </c>
      <c r="N112">
        <v>4.7321358043083523E-4</v>
      </c>
    </row>
    <row r="113" spans="12:14" x14ac:dyDescent="0.3">
      <c r="L113">
        <v>101</v>
      </c>
      <c r="M113">
        <v>0</v>
      </c>
      <c r="N113">
        <v>9.0012649751261276E-2</v>
      </c>
    </row>
    <row r="114" spans="12:14" x14ac:dyDescent="0.3">
      <c r="L114">
        <v>102</v>
      </c>
      <c r="M114">
        <v>1</v>
      </c>
      <c r="N114">
        <v>9.7951014961453579E-3</v>
      </c>
    </row>
    <row r="115" spans="12:14" x14ac:dyDescent="0.3">
      <c r="L115">
        <v>103</v>
      </c>
      <c r="M115">
        <v>0</v>
      </c>
      <c r="N115">
        <v>4.8560318995082127E-4</v>
      </c>
    </row>
    <row r="116" spans="12:14" x14ac:dyDescent="0.3">
      <c r="L116">
        <v>104</v>
      </c>
      <c r="M116">
        <v>0</v>
      </c>
      <c r="N116">
        <v>2.2135367559160835E-2</v>
      </c>
    </row>
    <row r="117" spans="12:14" x14ac:dyDescent="0.3">
      <c r="L117">
        <v>105</v>
      </c>
      <c r="M117">
        <v>0</v>
      </c>
      <c r="N117">
        <v>2.952590983331162E-4</v>
      </c>
    </row>
    <row r="118" spans="12:14" x14ac:dyDescent="0.3">
      <c r="L118">
        <v>106</v>
      </c>
      <c r="M118">
        <v>0</v>
      </c>
      <c r="N118">
        <v>0.32225686645669788</v>
      </c>
    </row>
    <row r="119" spans="12:14" x14ac:dyDescent="0.3">
      <c r="L119">
        <v>107</v>
      </c>
      <c r="M119">
        <v>0</v>
      </c>
      <c r="N119">
        <v>2.6972934733244033E-4</v>
      </c>
    </row>
    <row r="120" spans="12:14" x14ac:dyDescent="0.3">
      <c r="L120">
        <v>108</v>
      </c>
      <c r="M120">
        <v>0</v>
      </c>
      <c r="N120">
        <v>1.9686786104213951E-4</v>
      </c>
    </row>
    <row r="121" spans="12:14" x14ac:dyDescent="0.3">
      <c r="L121">
        <v>109</v>
      </c>
      <c r="M121">
        <v>0</v>
      </c>
      <c r="N121">
        <v>2.8411711940689401E-3</v>
      </c>
    </row>
    <row r="122" spans="12:14" x14ac:dyDescent="0.3">
      <c r="L122">
        <v>110</v>
      </c>
      <c r="M122">
        <v>0</v>
      </c>
      <c r="N122">
        <v>4.9889122841904696E-3</v>
      </c>
    </row>
    <row r="123" spans="12:14" x14ac:dyDescent="0.3">
      <c r="L123">
        <v>111</v>
      </c>
      <c r="M123">
        <v>0</v>
      </c>
      <c r="N123">
        <v>7.1867395529742514E-2</v>
      </c>
    </row>
    <row r="124" spans="12:14" x14ac:dyDescent="0.3">
      <c r="L124">
        <v>112</v>
      </c>
      <c r="M124">
        <v>1</v>
      </c>
      <c r="N124">
        <v>1.2501402194245045E-2</v>
      </c>
    </row>
    <row r="125" spans="12:14" x14ac:dyDescent="0.3">
      <c r="L125">
        <v>113</v>
      </c>
      <c r="M125">
        <v>0</v>
      </c>
      <c r="N125">
        <v>0.99994527537050359</v>
      </c>
    </row>
    <row r="126" spans="12:14" x14ac:dyDescent="0.3">
      <c r="L126">
        <v>114</v>
      </c>
      <c r="M126">
        <v>0</v>
      </c>
      <c r="N126">
        <v>3.0148935335104661E-3</v>
      </c>
    </row>
    <row r="127" spans="12:14" x14ac:dyDescent="0.3">
      <c r="L127">
        <v>115</v>
      </c>
      <c r="M127">
        <v>0</v>
      </c>
      <c r="N127">
        <v>1.0004249326779201E-4</v>
      </c>
    </row>
    <row r="128" spans="12:14" x14ac:dyDescent="0.3">
      <c r="L128">
        <v>116</v>
      </c>
      <c r="M128">
        <v>0</v>
      </c>
      <c r="N128">
        <v>4.045194326855579E-4</v>
      </c>
    </row>
    <row r="129" spans="12:14" x14ac:dyDescent="0.3">
      <c r="L129">
        <v>117</v>
      </c>
      <c r="M129">
        <v>0</v>
      </c>
      <c r="N129">
        <v>1.8048869056722688E-2</v>
      </c>
    </row>
    <row r="130" spans="12:14" x14ac:dyDescent="0.3">
      <c r="L130">
        <v>118</v>
      </c>
      <c r="M130">
        <v>0</v>
      </c>
      <c r="N130">
        <v>2.2869263554998551E-3</v>
      </c>
    </row>
    <row r="131" spans="12:14" x14ac:dyDescent="0.3">
      <c r="L131">
        <v>119</v>
      </c>
      <c r="M131">
        <v>0</v>
      </c>
      <c r="N131">
        <v>2.8449992283626855E-3</v>
      </c>
    </row>
    <row r="132" spans="12:14" x14ac:dyDescent="0.3">
      <c r="L132">
        <v>120</v>
      </c>
      <c r="M132">
        <v>0</v>
      </c>
      <c r="N132">
        <v>8.0124002766891267E-4</v>
      </c>
    </row>
    <row r="133" spans="12:14" x14ac:dyDescent="0.3">
      <c r="L133">
        <v>121</v>
      </c>
      <c r="M133">
        <v>0</v>
      </c>
      <c r="N133">
        <v>7.6586080382286324E-4</v>
      </c>
    </row>
    <row r="134" spans="12:14" x14ac:dyDescent="0.3">
      <c r="L134">
        <v>122</v>
      </c>
      <c r="M134">
        <v>1</v>
      </c>
      <c r="N134">
        <v>1.4064759617716908E-3</v>
      </c>
    </row>
    <row r="135" spans="12:14" x14ac:dyDescent="0.3">
      <c r="L135">
        <v>123</v>
      </c>
      <c r="M135">
        <v>0</v>
      </c>
      <c r="N135">
        <v>0.58680148595071591</v>
      </c>
    </row>
    <row r="136" spans="12:14" x14ac:dyDescent="0.3">
      <c r="L136">
        <v>124</v>
      </c>
      <c r="M136">
        <v>0</v>
      </c>
      <c r="N136">
        <v>0.99993988524567323</v>
      </c>
    </row>
    <row r="137" spans="12:14" x14ac:dyDescent="0.3">
      <c r="L137">
        <v>125</v>
      </c>
      <c r="M137">
        <v>0</v>
      </c>
      <c r="N137">
        <v>1.4291881905262493E-2</v>
      </c>
    </row>
    <row r="138" spans="12:14" x14ac:dyDescent="0.3">
      <c r="L138">
        <v>126</v>
      </c>
      <c r="M138">
        <v>0</v>
      </c>
      <c r="N138">
        <v>0.74062682813487024</v>
      </c>
    </row>
    <row r="139" spans="12:14" x14ac:dyDescent="0.3">
      <c r="L139">
        <v>127</v>
      </c>
      <c r="M139">
        <v>1</v>
      </c>
      <c r="N139">
        <v>3.2095334881290516E-2</v>
      </c>
    </row>
    <row r="140" spans="12:14" x14ac:dyDescent="0.3">
      <c r="L140">
        <v>128</v>
      </c>
      <c r="M140">
        <v>0</v>
      </c>
      <c r="N140">
        <v>0.26307483306026846</v>
      </c>
    </row>
    <row r="141" spans="12:14" x14ac:dyDescent="0.3">
      <c r="L141">
        <v>129</v>
      </c>
      <c r="M141">
        <v>1</v>
      </c>
      <c r="N141">
        <v>0.40477216104299124</v>
      </c>
    </row>
    <row r="142" spans="12:14" x14ac:dyDescent="0.3">
      <c r="L142">
        <v>130</v>
      </c>
      <c r="M142">
        <v>0</v>
      </c>
      <c r="N142">
        <v>2.4225127251775166E-2</v>
      </c>
    </row>
    <row r="143" spans="12:14" x14ac:dyDescent="0.3">
      <c r="L143">
        <v>131</v>
      </c>
      <c r="M143">
        <v>0</v>
      </c>
      <c r="N143">
        <v>9.1049570012733602E-3</v>
      </c>
    </row>
    <row r="144" spans="12:14" x14ac:dyDescent="0.3">
      <c r="L144">
        <v>132</v>
      </c>
      <c r="M144">
        <v>0</v>
      </c>
      <c r="N144">
        <v>0.86138623295624306</v>
      </c>
    </row>
    <row r="145" spans="12:14" x14ac:dyDescent="0.3">
      <c r="L145">
        <v>133</v>
      </c>
      <c r="M145">
        <v>0</v>
      </c>
      <c r="N145">
        <v>4.7850125620912103E-3</v>
      </c>
    </row>
    <row r="146" spans="12:14" x14ac:dyDescent="0.3">
      <c r="L146">
        <v>134</v>
      </c>
      <c r="M146">
        <v>0</v>
      </c>
      <c r="N146">
        <v>2.0726458329382472E-3</v>
      </c>
    </row>
    <row r="147" spans="12:14" x14ac:dyDescent="0.3">
      <c r="L147">
        <v>135</v>
      </c>
      <c r="M147">
        <v>0</v>
      </c>
      <c r="N147">
        <v>7.8082371743898649E-2</v>
      </c>
    </row>
    <row r="148" spans="12:14" x14ac:dyDescent="0.3">
      <c r="L148">
        <v>136</v>
      </c>
      <c r="M148">
        <v>0</v>
      </c>
      <c r="N148">
        <v>4.0138791160720722E-2</v>
      </c>
    </row>
    <row r="149" spans="12:14" x14ac:dyDescent="0.3">
      <c r="L149">
        <v>137</v>
      </c>
      <c r="M149">
        <v>1</v>
      </c>
      <c r="N149">
        <v>0.19521354434959715</v>
      </c>
    </row>
    <row r="150" spans="12:14" x14ac:dyDescent="0.3">
      <c r="L150">
        <v>138</v>
      </c>
      <c r="M150">
        <v>0</v>
      </c>
      <c r="N150">
        <v>9.6122196173547558E-3</v>
      </c>
    </row>
    <row r="151" spans="12:14" x14ac:dyDescent="0.3">
      <c r="L151">
        <v>139</v>
      </c>
      <c r="M151">
        <v>0</v>
      </c>
      <c r="N151">
        <v>1.2111712735427035E-3</v>
      </c>
    </row>
    <row r="152" spans="12:14" x14ac:dyDescent="0.3">
      <c r="L152">
        <v>140</v>
      </c>
      <c r="M152">
        <v>0</v>
      </c>
      <c r="N152">
        <v>2.6601012425606054E-2</v>
      </c>
    </row>
    <row r="153" spans="12:14" x14ac:dyDescent="0.3">
      <c r="L153">
        <v>141</v>
      </c>
      <c r="M153">
        <v>0</v>
      </c>
      <c r="N153">
        <v>1.2687096429774378E-2</v>
      </c>
    </row>
    <row r="154" spans="12:14" x14ac:dyDescent="0.3">
      <c r="L154">
        <v>142</v>
      </c>
      <c r="M154">
        <v>0</v>
      </c>
      <c r="N154">
        <v>6.0690369492277373E-2</v>
      </c>
    </row>
    <row r="155" spans="12:14" x14ac:dyDescent="0.3">
      <c r="L155">
        <v>143</v>
      </c>
      <c r="M155">
        <v>0</v>
      </c>
      <c r="N155">
        <v>3.6475571144978992E-2</v>
      </c>
    </row>
    <row r="156" spans="12:14" x14ac:dyDescent="0.3">
      <c r="L156">
        <v>144</v>
      </c>
      <c r="M156">
        <v>0</v>
      </c>
      <c r="N156">
        <v>1.7834952222300696E-3</v>
      </c>
    </row>
    <row r="157" spans="12:14" x14ac:dyDescent="0.3">
      <c r="L157">
        <v>145</v>
      </c>
      <c r="M157">
        <v>0</v>
      </c>
      <c r="N157">
        <v>1.2783136891747913E-5</v>
      </c>
    </row>
    <row r="158" spans="12:14" x14ac:dyDescent="0.3">
      <c r="L158">
        <v>146</v>
      </c>
      <c r="M158">
        <v>1</v>
      </c>
      <c r="N158">
        <v>1.3992599311352454E-2</v>
      </c>
    </row>
    <row r="159" spans="12:14" x14ac:dyDescent="0.3">
      <c r="L159">
        <v>147</v>
      </c>
      <c r="M159">
        <v>0</v>
      </c>
      <c r="N159">
        <v>0.1050093785989734</v>
      </c>
    </row>
    <row r="160" spans="12:14" x14ac:dyDescent="0.3">
      <c r="L160">
        <v>148</v>
      </c>
      <c r="M160">
        <v>0</v>
      </c>
      <c r="N160">
        <v>0.28942642326397389</v>
      </c>
    </row>
    <row r="161" spans="12:14" x14ac:dyDescent="0.3">
      <c r="L161">
        <v>149</v>
      </c>
      <c r="M161">
        <v>0</v>
      </c>
      <c r="N161">
        <v>0.99960271323198879</v>
      </c>
    </row>
    <row r="162" spans="12:14" x14ac:dyDescent="0.3">
      <c r="L162">
        <v>150</v>
      </c>
      <c r="M162">
        <v>0</v>
      </c>
      <c r="N162">
        <v>3.5833776057263046E-2</v>
      </c>
    </row>
    <row r="163" spans="12:14" x14ac:dyDescent="0.3">
      <c r="L163">
        <v>151</v>
      </c>
      <c r="M163">
        <v>0</v>
      </c>
      <c r="N163">
        <v>0.27496815048157991</v>
      </c>
    </row>
    <row r="164" spans="12:14" x14ac:dyDescent="0.3">
      <c r="L164">
        <v>152</v>
      </c>
      <c r="M164">
        <v>0</v>
      </c>
      <c r="N164">
        <v>0.22503280259980485</v>
      </c>
    </row>
    <row r="165" spans="12:14" x14ac:dyDescent="0.3">
      <c r="L165">
        <v>153</v>
      </c>
      <c r="M165">
        <v>0</v>
      </c>
      <c r="N165">
        <v>0.97634371809523457</v>
      </c>
    </row>
    <row r="166" spans="12:14" x14ac:dyDescent="0.3">
      <c r="L166">
        <v>154</v>
      </c>
      <c r="M166">
        <v>0</v>
      </c>
      <c r="N166">
        <v>1.6266203507481548E-3</v>
      </c>
    </row>
    <row r="167" spans="12:14" x14ac:dyDescent="0.3">
      <c r="L167">
        <v>155</v>
      </c>
      <c r="M167">
        <v>1</v>
      </c>
      <c r="N167">
        <v>7.1218294773937765E-4</v>
      </c>
    </row>
    <row r="168" spans="12:14" x14ac:dyDescent="0.3">
      <c r="L168">
        <v>156</v>
      </c>
      <c r="M168">
        <v>1</v>
      </c>
      <c r="N168">
        <v>0.24438152166774016</v>
      </c>
    </row>
    <row r="169" spans="12:14" x14ac:dyDescent="0.3">
      <c r="L169">
        <v>157</v>
      </c>
      <c r="M169">
        <v>1</v>
      </c>
      <c r="N169">
        <v>0.9991814686535444</v>
      </c>
    </row>
    <row r="170" spans="12:14" x14ac:dyDescent="0.3">
      <c r="L170">
        <v>158</v>
      </c>
      <c r="M170">
        <v>0</v>
      </c>
      <c r="N170">
        <v>8.3244103734532712E-2</v>
      </c>
    </row>
    <row r="171" spans="12:14" x14ac:dyDescent="0.3">
      <c r="L171">
        <v>159</v>
      </c>
      <c r="M171">
        <v>1</v>
      </c>
      <c r="N171">
        <v>3.0648007544968468E-2</v>
      </c>
    </row>
    <row r="172" spans="12:14" x14ac:dyDescent="0.3">
      <c r="L172">
        <v>160</v>
      </c>
      <c r="M172">
        <v>0</v>
      </c>
      <c r="N172">
        <v>1.4083388878937433E-5</v>
      </c>
    </row>
    <row r="173" spans="12:14" x14ac:dyDescent="0.3">
      <c r="L173">
        <v>161</v>
      </c>
      <c r="M173">
        <v>0</v>
      </c>
      <c r="N173">
        <v>5.4449552857737282E-2</v>
      </c>
    </row>
    <row r="174" spans="12:14" x14ac:dyDescent="0.3">
      <c r="L174">
        <v>162</v>
      </c>
      <c r="M174">
        <v>1</v>
      </c>
      <c r="N174">
        <v>4.5906856258455796E-4</v>
      </c>
    </row>
    <row r="175" spans="12:14" x14ac:dyDescent="0.3">
      <c r="L175">
        <v>163</v>
      </c>
      <c r="M175">
        <v>0</v>
      </c>
      <c r="N175">
        <v>1.5216940596893939E-4</v>
      </c>
    </row>
    <row r="176" spans="12:14" x14ac:dyDescent="0.3">
      <c r="L176">
        <v>164</v>
      </c>
      <c r="M176">
        <v>0</v>
      </c>
      <c r="N176">
        <v>3.2679604631037182E-2</v>
      </c>
    </row>
    <row r="177" spans="12:14" x14ac:dyDescent="0.3">
      <c r="L177">
        <v>165</v>
      </c>
      <c r="M177">
        <v>0</v>
      </c>
      <c r="N177">
        <v>8.1059452929216329E-3</v>
      </c>
    </row>
    <row r="178" spans="12:14" x14ac:dyDescent="0.3">
      <c r="L178">
        <v>166</v>
      </c>
      <c r="M178">
        <v>0</v>
      </c>
      <c r="N178">
        <v>7.0240037988869242E-2</v>
      </c>
    </row>
    <row r="179" spans="12:14" x14ac:dyDescent="0.3">
      <c r="L179">
        <v>167</v>
      </c>
      <c r="M179">
        <v>0</v>
      </c>
      <c r="N179">
        <v>2.9155499183533278E-3</v>
      </c>
    </row>
    <row r="180" spans="12:14" x14ac:dyDescent="0.3">
      <c r="L180">
        <v>168</v>
      </c>
      <c r="M180">
        <v>0</v>
      </c>
      <c r="N180">
        <v>1.443172844000476E-6</v>
      </c>
    </row>
    <row r="181" spans="12:14" x14ac:dyDescent="0.3">
      <c r="L181">
        <v>169</v>
      </c>
      <c r="M181">
        <v>0</v>
      </c>
      <c r="N181">
        <v>1.9372391296688162E-4</v>
      </c>
    </row>
    <row r="182" spans="12:14" x14ac:dyDescent="0.3">
      <c r="L182">
        <v>170</v>
      </c>
      <c r="M182">
        <v>0</v>
      </c>
      <c r="N182">
        <v>5.9597975548240825E-2</v>
      </c>
    </row>
    <row r="183" spans="12:14" x14ac:dyDescent="0.3">
      <c r="L183">
        <v>171</v>
      </c>
      <c r="M183">
        <v>0</v>
      </c>
      <c r="N183">
        <v>1.7564568960836845E-3</v>
      </c>
    </row>
    <row r="184" spans="12:14" x14ac:dyDescent="0.3">
      <c r="L184">
        <v>172</v>
      </c>
      <c r="M184">
        <v>0</v>
      </c>
      <c r="N184">
        <v>0.50721642001547129</v>
      </c>
    </row>
    <row r="185" spans="12:14" x14ac:dyDescent="0.3">
      <c r="L185">
        <v>173</v>
      </c>
      <c r="M185">
        <v>0</v>
      </c>
      <c r="N185">
        <v>1.8520167979828202E-2</v>
      </c>
    </row>
    <row r="186" spans="12:14" x14ac:dyDescent="0.3">
      <c r="L186">
        <v>174</v>
      </c>
      <c r="M186">
        <v>0</v>
      </c>
      <c r="N186">
        <v>0.99999999999999989</v>
      </c>
    </row>
    <row r="187" spans="12:14" x14ac:dyDescent="0.3">
      <c r="L187">
        <v>175</v>
      </c>
      <c r="M187">
        <v>0</v>
      </c>
      <c r="N187">
        <v>2.8473919990832942E-4</v>
      </c>
    </row>
    <row r="188" spans="12:14" x14ac:dyDescent="0.3">
      <c r="L188">
        <v>176</v>
      </c>
      <c r="M188">
        <v>1</v>
      </c>
      <c r="N188">
        <v>0.63277554693669646</v>
      </c>
    </row>
    <row r="189" spans="12:14" x14ac:dyDescent="0.3">
      <c r="L189">
        <v>177</v>
      </c>
      <c r="M189">
        <v>0</v>
      </c>
      <c r="N189">
        <v>1.3165674513023744E-2</v>
      </c>
    </row>
    <row r="190" spans="12:14" x14ac:dyDescent="0.3">
      <c r="L190">
        <v>178</v>
      </c>
      <c r="M190">
        <v>0</v>
      </c>
      <c r="N190">
        <v>0.79865597566015023</v>
      </c>
    </row>
    <row r="191" spans="12:14" x14ac:dyDescent="0.3">
      <c r="L191">
        <v>179</v>
      </c>
      <c r="M191">
        <v>0</v>
      </c>
      <c r="N191">
        <v>0.71969931709780866</v>
      </c>
    </row>
    <row r="192" spans="12:14" x14ac:dyDescent="0.3">
      <c r="L192">
        <v>180</v>
      </c>
      <c r="M192">
        <v>0</v>
      </c>
      <c r="N192">
        <v>1.7598254143754175E-3</v>
      </c>
    </row>
    <row r="193" spans="12:14" x14ac:dyDescent="0.3">
      <c r="L193">
        <v>181</v>
      </c>
      <c r="M193">
        <v>0</v>
      </c>
      <c r="N193">
        <v>5.575211158824777E-2</v>
      </c>
    </row>
    <row r="194" spans="12:14" x14ac:dyDescent="0.3">
      <c r="L194">
        <v>182</v>
      </c>
      <c r="M194">
        <v>0</v>
      </c>
      <c r="N194">
        <v>3.1497223394783086E-2</v>
      </c>
    </row>
    <row r="195" spans="12:14" x14ac:dyDescent="0.3">
      <c r="L195">
        <v>183</v>
      </c>
      <c r="M195">
        <v>0</v>
      </c>
      <c r="N195">
        <v>1.7191662600201851E-3</v>
      </c>
    </row>
    <row r="196" spans="12:14" x14ac:dyDescent="0.3">
      <c r="L196">
        <v>184</v>
      </c>
      <c r="M196">
        <v>0</v>
      </c>
      <c r="N196">
        <v>0.90011542030294134</v>
      </c>
    </row>
    <row r="197" spans="12:14" x14ac:dyDescent="0.3">
      <c r="L197">
        <v>185</v>
      </c>
      <c r="M197">
        <v>0</v>
      </c>
      <c r="N197">
        <v>1.4741684434989591E-2</v>
      </c>
    </row>
    <row r="198" spans="12:14" x14ac:dyDescent="0.3">
      <c r="L198">
        <v>186</v>
      </c>
      <c r="M198">
        <v>0</v>
      </c>
      <c r="N198">
        <v>1.2876936949721907E-2</v>
      </c>
    </row>
    <row r="199" spans="12:14" x14ac:dyDescent="0.3">
      <c r="L199">
        <v>187</v>
      </c>
      <c r="M199">
        <v>0</v>
      </c>
      <c r="N199">
        <v>1.684970514519845E-2</v>
      </c>
    </row>
    <row r="200" spans="12:14" x14ac:dyDescent="0.3">
      <c r="L200">
        <v>188</v>
      </c>
      <c r="M200">
        <v>0</v>
      </c>
      <c r="N200">
        <v>2.367431892026081E-4</v>
      </c>
    </row>
    <row r="201" spans="12:14" x14ac:dyDescent="0.3">
      <c r="L201">
        <v>189</v>
      </c>
      <c r="M201">
        <v>0</v>
      </c>
      <c r="N201">
        <v>3.0433522673064133E-2</v>
      </c>
    </row>
    <row r="202" spans="12:14" x14ac:dyDescent="0.3">
      <c r="L202">
        <v>190</v>
      </c>
      <c r="M202">
        <v>0</v>
      </c>
      <c r="N202">
        <v>1.0641791572248527E-2</v>
      </c>
    </row>
    <row r="203" spans="12:14" x14ac:dyDescent="0.3">
      <c r="L203">
        <v>191</v>
      </c>
      <c r="M203">
        <v>0</v>
      </c>
      <c r="N203">
        <v>0.95904649265371511</v>
      </c>
    </row>
    <row r="204" spans="12:14" x14ac:dyDescent="0.3">
      <c r="L204">
        <v>192</v>
      </c>
      <c r="M204">
        <v>0</v>
      </c>
      <c r="N204">
        <v>3.2179145512325452E-2</v>
      </c>
    </row>
    <row r="205" spans="12:14" x14ac:dyDescent="0.3">
      <c r="L205">
        <v>193</v>
      </c>
      <c r="M205">
        <v>0</v>
      </c>
      <c r="N205">
        <v>1.8357984396461403E-2</v>
      </c>
    </row>
    <row r="206" spans="12:14" x14ac:dyDescent="0.3">
      <c r="L206">
        <v>194</v>
      </c>
      <c r="M206">
        <v>0</v>
      </c>
      <c r="N206">
        <v>5.7312791291779852E-2</v>
      </c>
    </row>
    <row r="207" spans="12:14" x14ac:dyDescent="0.3">
      <c r="L207">
        <v>195</v>
      </c>
      <c r="M207">
        <v>0</v>
      </c>
      <c r="N207">
        <v>0.2025068104188408</v>
      </c>
    </row>
    <row r="208" spans="12:14" x14ac:dyDescent="0.3">
      <c r="L208">
        <v>196</v>
      </c>
      <c r="M208">
        <v>0</v>
      </c>
      <c r="N208">
        <v>0.13833581453914973</v>
      </c>
    </row>
    <row r="209" spans="12:14" x14ac:dyDescent="0.3">
      <c r="L209">
        <v>197</v>
      </c>
      <c r="M209">
        <v>0</v>
      </c>
      <c r="N209">
        <v>5.3550285711236864E-2</v>
      </c>
    </row>
    <row r="210" spans="12:14" x14ac:dyDescent="0.3">
      <c r="L210">
        <v>198</v>
      </c>
      <c r="M210">
        <v>0</v>
      </c>
      <c r="N210">
        <v>0.45353399378904163</v>
      </c>
    </row>
    <row r="211" spans="12:14" x14ac:dyDescent="0.3">
      <c r="L211">
        <v>199</v>
      </c>
      <c r="M211">
        <v>0</v>
      </c>
      <c r="N211">
        <v>0.94334104516896167</v>
      </c>
    </row>
    <row r="212" spans="12:14" x14ac:dyDescent="0.3">
      <c r="L212">
        <v>200</v>
      </c>
      <c r="M212">
        <v>0</v>
      </c>
      <c r="N212">
        <v>5.5983369064387574E-5</v>
      </c>
    </row>
    <row r="213" spans="12:14" x14ac:dyDescent="0.3">
      <c r="L213">
        <v>201</v>
      </c>
      <c r="M213">
        <v>0</v>
      </c>
      <c r="N213">
        <v>2.4982282455660964E-4</v>
      </c>
    </row>
    <row r="214" spans="12:14" x14ac:dyDescent="0.3">
      <c r="L214">
        <v>202</v>
      </c>
      <c r="M214">
        <v>0</v>
      </c>
      <c r="N214">
        <v>5.6412252581454091E-4</v>
      </c>
    </row>
    <row r="215" spans="12:14" x14ac:dyDescent="0.3">
      <c r="L215">
        <v>203</v>
      </c>
      <c r="M215">
        <v>0</v>
      </c>
      <c r="N215">
        <v>2.0647007470571623E-3</v>
      </c>
    </row>
    <row r="216" spans="12:14" x14ac:dyDescent="0.3">
      <c r="L216">
        <v>204</v>
      </c>
      <c r="M216">
        <v>0</v>
      </c>
      <c r="N216">
        <v>2.5361147858601739E-2</v>
      </c>
    </row>
    <row r="217" spans="12:14" x14ac:dyDescent="0.3">
      <c r="L217">
        <v>205</v>
      </c>
      <c r="M217">
        <v>1</v>
      </c>
      <c r="N217">
        <v>4.2257972310184196E-3</v>
      </c>
    </row>
    <row r="218" spans="12:14" x14ac:dyDescent="0.3">
      <c r="L218">
        <v>206</v>
      </c>
      <c r="M218">
        <v>0</v>
      </c>
      <c r="N218">
        <v>3.8579462836548302E-3</v>
      </c>
    </row>
    <row r="219" spans="12:14" x14ac:dyDescent="0.3">
      <c r="L219">
        <v>207</v>
      </c>
      <c r="M219">
        <v>0</v>
      </c>
      <c r="N219">
        <v>6.2378876502043948E-4</v>
      </c>
    </row>
    <row r="220" spans="12:14" x14ac:dyDescent="0.3">
      <c r="L220">
        <v>208</v>
      </c>
      <c r="M220">
        <v>0</v>
      </c>
      <c r="N220">
        <v>7.9080033282563529E-3</v>
      </c>
    </row>
    <row r="221" spans="12:14" x14ac:dyDescent="0.3">
      <c r="L221">
        <v>209</v>
      </c>
      <c r="M221">
        <v>0</v>
      </c>
      <c r="N221">
        <v>1.9577394939563151E-2</v>
      </c>
    </row>
    <row r="222" spans="12:14" x14ac:dyDescent="0.3">
      <c r="L222">
        <v>210</v>
      </c>
      <c r="M222">
        <v>0</v>
      </c>
      <c r="N222">
        <v>9.1661628790686636E-2</v>
      </c>
    </row>
    <row r="223" spans="12:14" x14ac:dyDescent="0.3">
      <c r="L223">
        <v>211</v>
      </c>
      <c r="M223">
        <v>0</v>
      </c>
      <c r="N223">
        <v>5.0941964467514339E-2</v>
      </c>
    </row>
    <row r="224" spans="12:14" x14ac:dyDescent="0.3">
      <c r="L224">
        <v>212</v>
      </c>
      <c r="M224">
        <v>0</v>
      </c>
      <c r="N224">
        <v>0.57944494536405944</v>
      </c>
    </row>
    <row r="225" spans="12:14" x14ac:dyDescent="0.3">
      <c r="L225">
        <v>213</v>
      </c>
      <c r="M225">
        <v>1</v>
      </c>
      <c r="N225">
        <v>2.1679820304896607E-2</v>
      </c>
    </row>
    <row r="226" spans="12:14" x14ac:dyDescent="0.3">
      <c r="L226">
        <v>214</v>
      </c>
      <c r="M226">
        <v>0</v>
      </c>
      <c r="N226">
        <v>6.5558058347184145E-2</v>
      </c>
    </row>
    <row r="227" spans="12:14" x14ac:dyDescent="0.3">
      <c r="L227">
        <v>215</v>
      </c>
      <c r="M227">
        <v>0</v>
      </c>
      <c r="N227">
        <v>4.5373860340127685E-2</v>
      </c>
    </row>
    <row r="228" spans="12:14" x14ac:dyDescent="0.3">
      <c r="L228">
        <v>216</v>
      </c>
      <c r="M228">
        <v>0</v>
      </c>
      <c r="N228">
        <v>3.3664331122170474E-2</v>
      </c>
    </row>
    <row r="229" spans="12:14" x14ac:dyDescent="0.3">
      <c r="L229">
        <v>217</v>
      </c>
      <c r="M229">
        <v>0</v>
      </c>
      <c r="N229">
        <v>0.81800091672662922</v>
      </c>
    </row>
    <row r="230" spans="12:14" x14ac:dyDescent="0.3">
      <c r="L230">
        <v>218</v>
      </c>
      <c r="M230">
        <v>0</v>
      </c>
      <c r="N230">
        <v>1.3035030927784352E-3</v>
      </c>
    </row>
    <row r="231" spans="12:14" x14ac:dyDescent="0.3">
      <c r="L231">
        <v>219</v>
      </c>
      <c r="M231">
        <v>0</v>
      </c>
      <c r="N231">
        <v>2.8674552655254103E-3</v>
      </c>
    </row>
    <row r="232" spans="12:14" x14ac:dyDescent="0.3">
      <c r="L232">
        <v>220</v>
      </c>
      <c r="M232">
        <v>0</v>
      </c>
      <c r="N232">
        <v>1.0309465614157362E-3</v>
      </c>
    </row>
    <row r="233" spans="12:14" x14ac:dyDescent="0.3">
      <c r="L233">
        <v>221</v>
      </c>
      <c r="M233">
        <v>0</v>
      </c>
      <c r="N233">
        <v>7.75602029733198E-3</v>
      </c>
    </row>
    <row r="234" spans="12:14" x14ac:dyDescent="0.3">
      <c r="L234">
        <v>222</v>
      </c>
      <c r="M234">
        <v>0</v>
      </c>
      <c r="N234">
        <v>2.0478362378075787E-3</v>
      </c>
    </row>
    <row r="235" spans="12:14" x14ac:dyDescent="0.3">
      <c r="L235">
        <v>223</v>
      </c>
      <c r="M235">
        <v>0</v>
      </c>
      <c r="N235">
        <v>1.5808228683426224E-3</v>
      </c>
    </row>
    <row r="236" spans="12:14" x14ac:dyDescent="0.3">
      <c r="L236">
        <v>224</v>
      </c>
      <c r="M236">
        <v>0</v>
      </c>
      <c r="N236">
        <v>7.9876599622584484E-6</v>
      </c>
    </row>
    <row r="237" spans="12:14" x14ac:dyDescent="0.3">
      <c r="L237">
        <v>225</v>
      </c>
      <c r="M237">
        <v>0</v>
      </c>
      <c r="N237">
        <v>0.80624191164979686</v>
      </c>
    </row>
    <row r="238" spans="12:14" x14ac:dyDescent="0.3">
      <c r="L238">
        <v>226</v>
      </c>
      <c r="M238">
        <v>1</v>
      </c>
      <c r="N238">
        <v>4.4453803511155408E-3</v>
      </c>
    </row>
    <row r="239" spans="12:14" x14ac:dyDescent="0.3">
      <c r="L239">
        <v>227</v>
      </c>
      <c r="M239">
        <v>1</v>
      </c>
      <c r="N239">
        <v>7.3408817351189212E-5</v>
      </c>
    </row>
    <row r="240" spans="12:14" x14ac:dyDescent="0.3">
      <c r="L240">
        <v>228</v>
      </c>
      <c r="M240">
        <v>1</v>
      </c>
      <c r="N240">
        <v>2.4654954377525243E-2</v>
      </c>
    </row>
    <row r="241" spans="12:14" x14ac:dyDescent="0.3">
      <c r="L241">
        <v>229</v>
      </c>
      <c r="M241">
        <v>0</v>
      </c>
      <c r="N241">
        <v>7.781987835777425E-2</v>
      </c>
    </row>
    <row r="242" spans="12:14" x14ac:dyDescent="0.3">
      <c r="L242">
        <v>230</v>
      </c>
      <c r="M242">
        <v>0</v>
      </c>
      <c r="N242">
        <v>5.0924385249243647E-3</v>
      </c>
    </row>
    <row r="243" spans="12:14" x14ac:dyDescent="0.3">
      <c r="L243">
        <v>231</v>
      </c>
      <c r="M243">
        <v>0</v>
      </c>
      <c r="N243">
        <v>4.5011733218594752E-4</v>
      </c>
    </row>
    <row r="244" spans="12:14" x14ac:dyDescent="0.3">
      <c r="L244">
        <v>232</v>
      </c>
      <c r="M244">
        <v>0</v>
      </c>
      <c r="N244">
        <v>5.0778672752741947E-3</v>
      </c>
    </row>
    <row r="245" spans="12:14" x14ac:dyDescent="0.3">
      <c r="L245">
        <v>233</v>
      </c>
      <c r="M245">
        <v>0</v>
      </c>
      <c r="N245">
        <v>6.0157051565376003E-3</v>
      </c>
    </row>
    <row r="246" spans="12:14" x14ac:dyDescent="0.3">
      <c r="L246">
        <v>234</v>
      </c>
      <c r="M246">
        <v>0</v>
      </c>
      <c r="N246">
        <v>3.6395233034042457E-3</v>
      </c>
    </row>
    <row r="247" spans="12:14" x14ac:dyDescent="0.3">
      <c r="L247">
        <v>235</v>
      </c>
      <c r="M247">
        <v>0</v>
      </c>
      <c r="N247">
        <v>5.3732090475644657E-3</v>
      </c>
    </row>
    <row r="248" spans="12:14" x14ac:dyDescent="0.3">
      <c r="L248">
        <v>236</v>
      </c>
      <c r="M248">
        <v>0</v>
      </c>
      <c r="N248">
        <v>1.3212261161312815E-3</v>
      </c>
    </row>
    <row r="249" spans="12:14" x14ac:dyDescent="0.3">
      <c r="L249">
        <v>237</v>
      </c>
      <c r="M249">
        <v>0</v>
      </c>
      <c r="N249">
        <v>4.5933527528058257E-3</v>
      </c>
    </row>
    <row r="250" spans="12:14" x14ac:dyDescent="0.3">
      <c r="L250">
        <v>238</v>
      </c>
      <c r="M250">
        <v>0</v>
      </c>
      <c r="N250">
        <v>0.58581028904881638</v>
      </c>
    </row>
    <row r="251" spans="12:14" x14ac:dyDescent="0.3">
      <c r="L251">
        <v>239</v>
      </c>
      <c r="M251">
        <v>0</v>
      </c>
      <c r="N251">
        <v>1.7714873592393703E-2</v>
      </c>
    </row>
    <row r="252" spans="12:14" x14ac:dyDescent="0.3">
      <c r="L252">
        <v>240</v>
      </c>
      <c r="M252">
        <v>0</v>
      </c>
      <c r="N252">
        <v>1.2416961724887687E-2</v>
      </c>
    </row>
    <row r="253" spans="12:14" x14ac:dyDescent="0.3">
      <c r="L253">
        <v>241</v>
      </c>
      <c r="M253">
        <v>0</v>
      </c>
      <c r="N253">
        <v>4.3088744763594075E-3</v>
      </c>
    </row>
    <row r="254" spans="12:14" x14ac:dyDescent="0.3">
      <c r="L254">
        <v>242</v>
      </c>
      <c r="M254">
        <v>1</v>
      </c>
      <c r="N254">
        <v>0.19967902566707571</v>
      </c>
    </row>
    <row r="255" spans="12:14" x14ac:dyDescent="0.3">
      <c r="L255">
        <v>243</v>
      </c>
      <c r="M255">
        <v>0</v>
      </c>
      <c r="N255">
        <v>5.133286413384135E-3</v>
      </c>
    </row>
    <row r="256" spans="12:14" x14ac:dyDescent="0.3">
      <c r="L256">
        <v>244</v>
      </c>
      <c r="M256">
        <v>1</v>
      </c>
      <c r="N256">
        <v>4.0643999869520164E-3</v>
      </c>
    </row>
    <row r="257" spans="12:14" x14ac:dyDescent="0.3">
      <c r="L257">
        <v>245</v>
      </c>
      <c r="M257">
        <v>0</v>
      </c>
      <c r="N257">
        <v>0.12192783513924715</v>
      </c>
    </row>
    <row r="258" spans="12:14" x14ac:dyDescent="0.3">
      <c r="L258">
        <v>246</v>
      </c>
      <c r="M258">
        <v>0</v>
      </c>
      <c r="N258">
        <v>4.8546301982953337E-3</v>
      </c>
    </row>
    <row r="259" spans="12:14" x14ac:dyDescent="0.3">
      <c r="L259">
        <v>247</v>
      </c>
      <c r="M259">
        <v>0</v>
      </c>
      <c r="N259">
        <v>3.9297815741207685E-2</v>
      </c>
    </row>
    <row r="260" spans="12:14" x14ac:dyDescent="0.3">
      <c r="L260">
        <v>248</v>
      </c>
      <c r="M260">
        <v>0</v>
      </c>
      <c r="N260">
        <v>0.20877422362823597</v>
      </c>
    </row>
    <row r="261" spans="12:14" x14ac:dyDescent="0.3">
      <c r="L261">
        <v>249</v>
      </c>
      <c r="M261">
        <v>0</v>
      </c>
      <c r="N261">
        <v>0.33236120297318272</v>
      </c>
    </row>
    <row r="262" spans="12:14" x14ac:dyDescent="0.3">
      <c r="L262">
        <v>250</v>
      </c>
      <c r="M262">
        <v>0</v>
      </c>
      <c r="N262">
        <v>6.0998651769226817E-3</v>
      </c>
    </row>
    <row r="263" spans="12:14" x14ac:dyDescent="0.3">
      <c r="L263">
        <v>251</v>
      </c>
      <c r="M263">
        <v>0</v>
      </c>
      <c r="N263">
        <v>2.5439985671125135E-4</v>
      </c>
    </row>
    <row r="264" spans="12:14" x14ac:dyDescent="0.3">
      <c r="L264">
        <v>252</v>
      </c>
      <c r="M264">
        <v>0</v>
      </c>
      <c r="N264">
        <v>0.85017841980035347</v>
      </c>
    </row>
    <row r="265" spans="12:14" x14ac:dyDescent="0.3">
      <c r="L265">
        <v>253</v>
      </c>
      <c r="M265">
        <v>1</v>
      </c>
      <c r="N265">
        <v>3.900992524392688E-3</v>
      </c>
    </row>
    <row r="266" spans="12:14" x14ac:dyDescent="0.3">
      <c r="L266">
        <v>254</v>
      </c>
      <c r="M266">
        <v>0</v>
      </c>
      <c r="N266">
        <v>0.10775488377044694</v>
      </c>
    </row>
    <row r="267" spans="12:14" x14ac:dyDescent="0.3">
      <c r="L267">
        <v>255</v>
      </c>
      <c r="M267">
        <v>0</v>
      </c>
      <c r="N267">
        <v>5.0315505509346763E-2</v>
      </c>
    </row>
    <row r="268" spans="12:14" x14ac:dyDescent="0.3">
      <c r="L268">
        <v>256</v>
      </c>
      <c r="M268">
        <v>0</v>
      </c>
      <c r="N268">
        <v>0.1471105649879646</v>
      </c>
    </row>
    <row r="269" spans="12:14" x14ac:dyDescent="0.3">
      <c r="L269">
        <v>257</v>
      </c>
      <c r="M269">
        <v>0</v>
      </c>
      <c r="N269">
        <v>0.10131422645280946</v>
      </c>
    </row>
    <row r="270" spans="12:14" x14ac:dyDescent="0.3">
      <c r="L270">
        <v>258</v>
      </c>
      <c r="M270">
        <v>0</v>
      </c>
      <c r="N270">
        <v>6.9794793146650276E-4</v>
      </c>
    </row>
    <row r="271" spans="12:14" x14ac:dyDescent="0.3">
      <c r="L271">
        <v>259</v>
      </c>
      <c r="M271">
        <v>0</v>
      </c>
      <c r="N271">
        <v>0.98649925253134663</v>
      </c>
    </row>
    <row r="272" spans="12:14" x14ac:dyDescent="0.3">
      <c r="L272">
        <v>260</v>
      </c>
      <c r="M272">
        <v>0</v>
      </c>
      <c r="N272">
        <v>6.2868920596068703E-2</v>
      </c>
    </row>
    <row r="273" spans="12:14" x14ac:dyDescent="0.3">
      <c r="L273">
        <v>261</v>
      </c>
      <c r="M273">
        <v>1</v>
      </c>
      <c r="N273">
        <v>5.5358000321800434E-4</v>
      </c>
    </row>
    <row r="274" spans="12:14" x14ac:dyDescent="0.3">
      <c r="L274">
        <v>262</v>
      </c>
      <c r="M274">
        <v>0</v>
      </c>
      <c r="N274">
        <v>3.0908892506170977E-2</v>
      </c>
    </row>
    <row r="275" spans="12:14" x14ac:dyDescent="0.3">
      <c r="L275">
        <v>263</v>
      </c>
      <c r="M275">
        <v>0</v>
      </c>
      <c r="N275">
        <v>0.2226338300323781</v>
      </c>
    </row>
    <row r="276" spans="12:14" x14ac:dyDescent="0.3">
      <c r="L276">
        <v>264</v>
      </c>
      <c r="M276">
        <v>0</v>
      </c>
      <c r="N276">
        <v>6.7535533658087251E-3</v>
      </c>
    </row>
    <row r="277" spans="12:14" x14ac:dyDescent="0.3">
      <c r="L277">
        <v>265</v>
      </c>
      <c r="M277">
        <v>0</v>
      </c>
      <c r="N277">
        <v>0.10806884279952648</v>
      </c>
    </row>
    <row r="278" spans="12:14" x14ac:dyDescent="0.3">
      <c r="L278">
        <v>266</v>
      </c>
      <c r="M278">
        <v>1</v>
      </c>
      <c r="N278">
        <v>3.7396146236234745E-2</v>
      </c>
    </row>
    <row r="279" spans="12:14" x14ac:dyDescent="0.3">
      <c r="L279">
        <v>267</v>
      </c>
      <c r="M279">
        <v>0</v>
      </c>
      <c r="N279">
        <v>5.0801047539710455E-3</v>
      </c>
    </row>
    <row r="280" spans="12:14" x14ac:dyDescent="0.3">
      <c r="L280">
        <v>268</v>
      </c>
      <c r="M280">
        <v>0</v>
      </c>
      <c r="N280">
        <v>1.1477404459424374E-4</v>
      </c>
    </row>
    <row r="281" spans="12:14" x14ac:dyDescent="0.3">
      <c r="L281">
        <v>269</v>
      </c>
      <c r="M281">
        <v>0</v>
      </c>
      <c r="N281">
        <v>9.4652376822627383E-4</v>
      </c>
    </row>
    <row r="282" spans="12:14" x14ac:dyDescent="0.3">
      <c r="L282">
        <v>270</v>
      </c>
      <c r="M282">
        <v>0</v>
      </c>
      <c r="N282">
        <v>2.8783054343569026E-2</v>
      </c>
    </row>
    <row r="283" spans="12:14" x14ac:dyDescent="0.3">
      <c r="L283">
        <v>271</v>
      </c>
      <c r="M283">
        <v>0</v>
      </c>
      <c r="N283">
        <v>5.973036398256374E-2</v>
      </c>
    </row>
    <row r="284" spans="12:14" x14ac:dyDescent="0.3">
      <c r="L284">
        <v>272</v>
      </c>
      <c r="M284">
        <v>0</v>
      </c>
      <c r="N284">
        <v>1.3149204022510073E-3</v>
      </c>
    </row>
    <row r="285" spans="12:14" x14ac:dyDescent="0.3">
      <c r="L285">
        <v>273</v>
      </c>
      <c r="M285">
        <v>1</v>
      </c>
      <c r="N285">
        <v>3.9773368189974413E-4</v>
      </c>
    </row>
    <row r="286" spans="12:14" x14ac:dyDescent="0.3">
      <c r="L286">
        <v>274</v>
      </c>
      <c r="M286">
        <v>0</v>
      </c>
      <c r="N286">
        <v>0.52446778791212345</v>
      </c>
    </row>
    <row r="287" spans="12:14" x14ac:dyDescent="0.3">
      <c r="L287">
        <v>275</v>
      </c>
      <c r="M287">
        <v>0</v>
      </c>
      <c r="N287">
        <v>3.1533140614122844E-2</v>
      </c>
    </row>
    <row r="288" spans="12:14" x14ac:dyDescent="0.3">
      <c r="L288">
        <v>276</v>
      </c>
      <c r="M288">
        <v>0</v>
      </c>
      <c r="N288">
        <v>2.2351578884114952E-2</v>
      </c>
    </row>
    <row r="289" spans="12:14" x14ac:dyDescent="0.3">
      <c r="L289">
        <v>277</v>
      </c>
      <c r="M289">
        <v>0</v>
      </c>
      <c r="N289">
        <v>1.0764733992359185E-2</v>
      </c>
    </row>
    <row r="290" spans="12:14" x14ac:dyDescent="0.3">
      <c r="L290">
        <v>278</v>
      </c>
      <c r="M290">
        <v>0</v>
      </c>
      <c r="N290">
        <v>1.5572034629173318E-2</v>
      </c>
    </row>
    <row r="291" spans="12:14" x14ac:dyDescent="0.3">
      <c r="L291">
        <v>279</v>
      </c>
      <c r="M291">
        <v>0</v>
      </c>
      <c r="N291">
        <v>7.2125622655252599E-5</v>
      </c>
    </row>
    <row r="292" spans="12:14" x14ac:dyDescent="0.3">
      <c r="L292">
        <v>280</v>
      </c>
      <c r="M292">
        <v>0</v>
      </c>
      <c r="N292">
        <v>1.3066836437075457E-3</v>
      </c>
    </row>
    <row r="293" spans="12:14" x14ac:dyDescent="0.3">
      <c r="L293">
        <v>281</v>
      </c>
      <c r="M293">
        <v>0</v>
      </c>
      <c r="N293">
        <v>0.43416710101011274</v>
      </c>
    </row>
    <row r="294" spans="12:14" x14ac:dyDescent="0.3">
      <c r="L294">
        <v>282</v>
      </c>
      <c r="M294">
        <v>0</v>
      </c>
      <c r="N294">
        <v>5.5764391537086878E-2</v>
      </c>
    </row>
    <row r="295" spans="12:14" x14ac:dyDescent="0.3">
      <c r="L295">
        <v>283</v>
      </c>
      <c r="M295">
        <v>1</v>
      </c>
      <c r="N295">
        <v>9.8711580940110621E-2</v>
      </c>
    </row>
    <row r="296" spans="12:14" x14ac:dyDescent="0.3">
      <c r="L296">
        <v>284</v>
      </c>
      <c r="M296">
        <v>0</v>
      </c>
      <c r="N296">
        <v>0.52401969817383276</v>
      </c>
    </row>
    <row r="297" spans="12:14" x14ac:dyDescent="0.3">
      <c r="L297">
        <v>285</v>
      </c>
      <c r="M297">
        <v>0</v>
      </c>
      <c r="N297">
        <v>3.9773164005213436E-4</v>
      </c>
    </row>
    <row r="298" spans="12:14" x14ac:dyDescent="0.3">
      <c r="L298">
        <v>286</v>
      </c>
      <c r="M298">
        <v>0</v>
      </c>
      <c r="N298">
        <v>0.29445184120789381</v>
      </c>
    </row>
    <row r="299" spans="12:14" x14ac:dyDescent="0.3">
      <c r="L299">
        <v>287</v>
      </c>
      <c r="M299">
        <v>0</v>
      </c>
      <c r="N299">
        <v>0.73674202949096279</v>
      </c>
    </row>
    <row r="300" spans="12:14" x14ac:dyDescent="0.3">
      <c r="L300">
        <v>288</v>
      </c>
      <c r="M300">
        <v>0</v>
      </c>
      <c r="N300">
        <v>0.51621399769208798</v>
      </c>
    </row>
    <row r="301" spans="12:14" x14ac:dyDescent="0.3">
      <c r="L301">
        <v>289</v>
      </c>
      <c r="M301">
        <v>0</v>
      </c>
      <c r="N301">
        <v>5.7530244847463538E-2</v>
      </c>
    </row>
    <row r="302" spans="12:14" x14ac:dyDescent="0.3">
      <c r="L302">
        <v>290</v>
      </c>
      <c r="M302">
        <v>1</v>
      </c>
      <c r="N302">
        <v>2.1509184759160842E-3</v>
      </c>
    </row>
    <row r="303" spans="12:14" x14ac:dyDescent="0.3">
      <c r="L303">
        <v>291</v>
      </c>
      <c r="M303">
        <v>0</v>
      </c>
      <c r="N303">
        <v>2.1827246318014963E-2</v>
      </c>
    </row>
    <row r="304" spans="12:14" x14ac:dyDescent="0.3">
      <c r="L304">
        <v>292</v>
      </c>
      <c r="M304">
        <v>0</v>
      </c>
      <c r="N304">
        <v>0.26915001357492807</v>
      </c>
    </row>
    <row r="305" spans="12:14" x14ac:dyDescent="0.3">
      <c r="L305">
        <v>293</v>
      </c>
      <c r="M305">
        <v>0</v>
      </c>
      <c r="N305">
        <v>0.9085835388101613</v>
      </c>
    </row>
    <row r="306" spans="12:14" x14ac:dyDescent="0.3">
      <c r="L306">
        <v>294</v>
      </c>
      <c r="M306">
        <v>0</v>
      </c>
      <c r="N306">
        <v>0.99999574567480753</v>
      </c>
    </row>
    <row r="307" spans="12:14" x14ac:dyDescent="0.3">
      <c r="L307">
        <v>295</v>
      </c>
      <c r="M307">
        <v>1</v>
      </c>
      <c r="N307">
        <v>0.12650546713351604</v>
      </c>
    </row>
    <row r="308" spans="12:14" x14ac:dyDescent="0.3">
      <c r="L308">
        <v>296</v>
      </c>
      <c r="M308">
        <v>0</v>
      </c>
      <c r="N308">
        <v>0.38954509277563709</v>
      </c>
    </row>
    <row r="309" spans="12:14" x14ac:dyDescent="0.3">
      <c r="L309">
        <v>297</v>
      </c>
      <c r="M309">
        <v>0</v>
      </c>
      <c r="N309">
        <v>5.0897186353595428E-2</v>
      </c>
    </row>
    <row r="310" spans="12:14" x14ac:dyDescent="0.3">
      <c r="L310">
        <v>298</v>
      </c>
      <c r="M310">
        <v>0</v>
      </c>
      <c r="N310">
        <v>5.2426022629354585E-2</v>
      </c>
    </row>
    <row r="311" spans="12:14" x14ac:dyDescent="0.3">
      <c r="L311">
        <v>299</v>
      </c>
      <c r="M311">
        <v>0</v>
      </c>
      <c r="N311">
        <v>7.7694515816201289E-3</v>
      </c>
    </row>
    <row r="312" spans="12:14" x14ac:dyDescent="0.3">
      <c r="L312">
        <v>300</v>
      </c>
      <c r="M312">
        <v>0</v>
      </c>
      <c r="N312">
        <v>5.8572273785617144E-5</v>
      </c>
    </row>
    <row r="313" spans="12:14" x14ac:dyDescent="0.3">
      <c r="L313">
        <v>301</v>
      </c>
      <c r="M313">
        <v>0</v>
      </c>
      <c r="N313">
        <v>0.5199216023256924</v>
      </c>
    </row>
    <row r="314" spans="12:14" x14ac:dyDescent="0.3">
      <c r="L314">
        <v>302</v>
      </c>
      <c r="M314">
        <v>0</v>
      </c>
      <c r="N314">
        <v>5.5774293467577792E-4</v>
      </c>
    </row>
    <row r="315" spans="12:14" x14ac:dyDescent="0.3">
      <c r="L315">
        <v>303</v>
      </c>
      <c r="M315">
        <v>0</v>
      </c>
      <c r="N315">
        <v>3.2202748693509954E-2</v>
      </c>
    </row>
    <row r="316" spans="12:14" x14ac:dyDescent="0.3">
      <c r="L316">
        <v>304</v>
      </c>
      <c r="M316">
        <v>0</v>
      </c>
      <c r="N316">
        <v>0.44844009993609757</v>
      </c>
    </row>
    <row r="317" spans="12:14" x14ac:dyDescent="0.3">
      <c r="L317">
        <v>305</v>
      </c>
      <c r="M317">
        <v>0</v>
      </c>
      <c r="N317">
        <v>9.0869157835634443E-3</v>
      </c>
    </row>
    <row r="318" spans="12:14" x14ac:dyDescent="0.3">
      <c r="L318">
        <v>306</v>
      </c>
      <c r="M318">
        <v>0</v>
      </c>
      <c r="N318">
        <v>9.178570809188151E-2</v>
      </c>
    </row>
    <row r="319" spans="12:14" x14ac:dyDescent="0.3">
      <c r="L319">
        <v>307</v>
      </c>
      <c r="M319">
        <v>0</v>
      </c>
      <c r="N319">
        <v>3.2902366352943559E-2</v>
      </c>
    </row>
    <row r="320" spans="12:14" x14ac:dyDescent="0.3">
      <c r="L320">
        <v>308</v>
      </c>
      <c r="M320">
        <v>0</v>
      </c>
      <c r="N320">
        <v>1.6656138695783293E-3</v>
      </c>
    </row>
    <row r="321" spans="12:14" x14ac:dyDescent="0.3">
      <c r="L321">
        <v>309</v>
      </c>
      <c r="M321">
        <v>0</v>
      </c>
      <c r="N321">
        <v>0.16502156032824114</v>
      </c>
    </row>
    <row r="322" spans="12:14" x14ac:dyDescent="0.3">
      <c r="L322">
        <v>310</v>
      </c>
      <c r="M322">
        <v>0</v>
      </c>
      <c r="N322">
        <v>3.3855115575261684E-2</v>
      </c>
    </row>
    <row r="323" spans="12:14" x14ac:dyDescent="0.3">
      <c r="L323">
        <v>311</v>
      </c>
      <c r="M323">
        <v>0</v>
      </c>
      <c r="N323">
        <v>1.2877713219606995E-2</v>
      </c>
    </row>
    <row r="324" spans="12:14" x14ac:dyDescent="0.3">
      <c r="L324">
        <v>312</v>
      </c>
      <c r="M324">
        <v>0</v>
      </c>
      <c r="N324">
        <v>0.30274478235073227</v>
      </c>
    </row>
    <row r="325" spans="12:14" x14ac:dyDescent="0.3">
      <c r="L325">
        <v>313</v>
      </c>
      <c r="M325">
        <v>0</v>
      </c>
      <c r="N325">
        <v>1.1212011053813517E-3</v>
      </c>
    </row>
    <row r="326" spans="12:14" x14ac:dyDescent="0.3">
      <c r="L326">
        <v>314</v>
      </c>
      <c r="M326">
        <v>0</v>
      </c>
      <c r="N326">
        <v>0.91655779002659155</v>
      </c>
    </row>
    <row r="327" spans="12:14" x14ac:dyDescent="0.3">
      <c r="L327">
        <v>315</v>
      </c>
      <c r="M327">
        <v>0</v>
      </c>
      <c r="N327">
        <v>2.0066748897832491E-2</v>
      </c>
    </row>
    <row r="328" spans="12:14" x14ac:dyDescent="0.3">
      <c r="L328">
        <v>316</v>
      </c>
      <c r="M328">
        <v>0</v>
      </c>
      <c r="N328">
        <v>6.5002571203347168E-2</v>
      </c>
    </row>
    <row r="329" spans="12:14" x14ac:dyDescent="0.3">
      <c r="L329">
        <v>317</v>
      </c>
      <c r="M329">
        <v>0</v>
      </c>
      <c r="N329">
        <v>0.99814993168060395</v>
      </c>
    </row>
    <row r="330" spans="12:14" x14ac:dyDescent="0.3">
      <c r="L330">
        <v>318</v>
      </c>
      <c r="M330">
        <v>0</v>
      </c>
      <c r="N330">
        <v>0.98797681296951823</v>
      </c>
    </row>
    <row r="331" spans="12:14" x14ac:dyDescent="0.3">
      <c r="L331">
        <v>319</v>
      </c>
      <c r="M331">
        <v>0</v>
      </c>
      <c r="N331">
        <v>3.2301876019298729E-2</v>
      </c>
    </row>
    <row r="332" spans="12:14" x14ac:dyDescent="0.3">
      <c r="L332">
        <v>320</v>
      </c>
      <c r="M332">
        <v>0</v>
      </c>
      <c r="N332">
        <v>9.8930129750815124E-2</v>
      </c>
    </row>
    <row r="333" spans="12:14" x14ac:dyDescent="0.3">
      <c r="L333">
        <v>321</v>
      </c>
      <c r="M333">
        <v>0</v>
      </c>
      <c r="N333">
        <v>0.81357611014601683</v>
      </c>
    </row>
    <row r="334" spans="12:14" x14ac:dyDescent="0.3">
      <c r="L334">
        <v>322</v>
      </c>
      <c r="M334">
        <v>0</v>
      </c>
      <c r="N334">
        <v>2.4662312909244005E-2</v>
      </c>
    </row>
    <row r="335" spans="12:14" x14ac:dyDescent="0.3">
      <c r="L335">
        <v>323</v>
      </c>
      <c r="M335">
        <v>0</v>
      </c>
      <c r="N335">
        <v>4.0246671760538477E-3</v>
      </c>
    </row>
    <row r="336" spans="12:14" x14ac:dyDescent="0.3">
      <c r="L336">
        <v>324</v>
      </c>
      <c r="M336">
        <v>0</v>
      </c>
      <c r="N336">
        <v>1.2656211009995897E-3</v>
      </c>
    </row>
    <row r="337" spans="12:14" x14ac:dyDescent="0.3">
      <c r="L337">
        <v>325</v>
      </c>
      <c r="M337">
        <v>1</v>
      </c>
      <c r="N337">
        <v>0.19758746066044128</v>
      </c>
    </row>
    <row r="338" spans="12:14" x14ac:dyDescent="0.3">
      <c r="L338">
        <v>326</v>
      </c>
      <c r="M338">
        <v>0</v>
      </c>
      <c r="N338">
        <v>9.9587663348570041E-2</v>
      </c>
    </row>
    <row r="339" spans="12:14" x14ac:dyDescent="0.3">
      <c r="L339">
        <v>327</v>
      </c>
      <c r="M339">
        <v>0</v>
      </c>
      <c r="N339">
        <v>1.3089212880612081E-2</v>
      </c>
    </row>
    <row r="340" spans="12:14" x14ac:dyDescent="0.3">
      <c r="L340">
        <v>328</v>
      </c>
      <c r="M340">
        <v>0</v>
      </c>
      <c r="N340">
        <v>0.98377858084788172</v>
      </c>
    </row>
    <row r="341" spans="12:14" x14ac:dyDescent="0.3">
      <c r="L341">
        <v>329</v>
      </c>
      <c r="M341">
        <v>1</v>
      </c>
      <c r="N341">
        <v>6.4053814971921225E-2</v>
      </c>
    </row>
    <row r="342" spans="12:14" x14ac:dyDescent="0.3">
      <c r="L342">
        <v>330</v>
      </c>
      <c r="M342">
        <v>0</v>
      </c>
      <c r="N342">
        <v>2.6160777297107307E-2</v>
      </c>
    </row>
    <row r="343" spans="12:14" x14ac:dyDescent="0.3">
      <c r="L343">
        <v>331</v>
      </c>
      <c r="M343">
        <v>1</v>
      </c>
      <c r="N343">
        <v>0.83118682087062912</v>
      </c>
    </row>
    <row r="344" spans="12:14" x14ac:dyDescent="0.3">
      <c r="L344">
        <v>332</v>
      </c>
      <c r="M344">
        <v>0</v>
      </c>
      <c r="N344">
        <v>0.19307360854126918</v>
      </c>
    </row>
    <row r="345" spans="12:14" x14ac:dyDescent="0.3">
      <c r="L345">
        <v>333</v>
      </c>
      <c r="M345">
        <v>0</v>
      </c>
      <c r="N345">
        <v>8.0237447747754202E-3</v>
      </c>
    </row>
    <row r="346" spans="12:14" x14ac:dyDescent="0.3">
      <c r="L346">
        <v>334</v>
      </c>
      <c r="M346">
        <v>0</v>
      </c>
      <c r="N346">
        <v>1.4417379981913332E-3</v>
      </c>
    </row>
    <row r="347" spans="12:14" x14ac:dyDescent="0.3">
      <c r="L347">
        <v>335</v>
      </c>
      <c r="M347">
        <v>0</v>
      </c>
      <c r="N347">
        <v>1.8253697632883929E-3</v>
      </c>
    </row>
    <row r="348" spans="12:14" x14ac:dyDescent="0.3">
      <c r="L348">
        <v>336</v>
      </c>
      <c r="M348">
        <v>0</v>
      </c>
      <c r="N348">
        <v>0.34143380406960377</v>
      </c>
    </row>
    <row r="349" spans="12:14" x14ac:dyDescent="0.3">
      <c r="L349">
        <v>337</v>
      </c>
      <c r="M349">
        <v>0</v>
      </c>
      <c r="N349">
        <v>0.94811271989321999</v>
      </c>
    </row>
    <row r="350" spans="12:14" x14ac:dyDescent="0.3">
      <c r="L350">
        <v>338</v>
      </c>
      <c r="M350">
        <v>0</v>
      </c>
      <c r="N350">
        <v>0.98873819962655007</v>
      </c>
    </row>
    <row r="351" spans="12:14" x14ac:dyDescent="0.3">
      <c r="L351">
        <v>339</v>
      </c>
      <c r="M351">
        <v>0</v>
      </c>
      <c r="N351">
        <v>0.27303424329690029</v>
      </c>
    </row>
    <row r="352" spans="12:14" x14ac:dyDescent="0.3">
      <c r="L352">
        <v>340</v>
      </c>
      <c r="M352">
        <v>0</v>
      </c>
      <c r="N352">
        <v>4.4931073263957347E-3</v>
      </c>
    </row>
    <row r="353" spans="12:14" x14ac:dyDescent="0.3">
      <c r="L353">
        <v>341</v>
      </c>
      <c r="M353">
        <v>0</v>
      </c>
      <c r="N353">
        <v>4.7480779612367165E-2</v>
      </c>
    </row>
    <row r="354" spans="12:14" x14ac:dyDescent="0.3">
      <c r="L354">
        <v>342</v>
      </c>
      <c r="M354">
        <v>0</v>
      </c>
      <c r="N354">
        <v>1.4059536998824472E-2</v>
      </c>
    </row>
    <row r="355" spans="12:14" x14ac:dyDescent="0.3">
      <c r="L355">
        <v>343</v>
      </c>
      <c r="M355">
        <v>0</v>
      </c>
      <c r="N355">
        <v>9.0588794641799277E-3</v>
      </c>
    </row>
    <row r="356" spans="12:14" x14ac:dyDescent="0.3">
      <c r="L356">
        <v>344</v>
      </c>
      <c r="M356">
        <v>0</v>
      </c>
      <c r="N356">
        <v>0.96007801369979184</v>
      </c>
    </row>
    <row r="357" spans="12:14" x14ac:dyDescent="0.3">
      <c r="L357">
        <v>345</v>
      </c>
      <c r="M357">
        <v>0</v>
      </c>
      <c r="N357">
        <v>5.0554438518683915E-4</v>
      </c>
    </row>
    <row r="358" spans="12:14" x14ac:dyDescent="0.3">
      <c r="L358">
        <v>346</v>
      </c>
      <c r="M358">
        <v>0</v>
      </c>
      <c r="N358">
        <v>1.4804801874945421E-5</v>
      </c>
    </row>
    <row r="359" spans="12:14" x14ac:dyDescent="0.3">
      <c r="L359">
        <v>347</v>
      </c>
      <c r="M359">
        <v>0</v>
      </c>
      <c r="N359">
        <v>5.7745421508013345E-5</v>
      </c>
    </row>
    <row r="360" spans="12:14" x14ac:dyDescent="0.3">
      <c r="L360">
        <v>348</v>
      </c>
      <c r="M360">
        <v>0</v>
      </c>
      <c r="N360">
        <v>0.23203115882075487</v>
      </c>
    </row>
    <row r="361" spans="12:14" x14ac:dyDescent="0.3">
      <c r="L361">
        <v>349</v>
      </c>
      <c r="M361">
        <v>0</v>
      </c>
      <c r="N361">
        <v>3.1212665444804593E-2</v>
      </c>
    </row>
    <row r="362" spans="12:14" x14ac:dyDescent="0.3">
      <c r="L362">
        <v>350</v>
      </c>
      <c r="M362">
        <v>0</v>
      </c>
      <c r="N362">
        <v>1.9542627221406229E-3</v>
      </c>
    </row>
    <row r="363" spans="12:14" x14ac:dyDescent="0.3">
      <c r="L363">
        <v>351</v>
      </c>
      <c r="M363">
        <v>1</v>
      </c>
      <c r="N363">
        <v>7.1404253882584251E-3</v>
      </c>
    </row>
    <row r="364" spans="12:14" x14ac:dyDescent="0.3">
      <c r="L364">
        <v>352</v>
      </c>
      <c r="M364">
        <v>0</v>
      </c>
      <c r="N364">
        <v>0.52116274436282661</v>
      </c>
    </row>
    <row r="365" spans="12:14" x14ac:dyDescent="0.3">
      <c r="L365">
        <v>353</v>
      </c>
      <c r="M365">
        <v>0</v>
      </c>
      <c r="N365">
        <v>0.93306277303031893</v>
      </c>
    </row>
    <row r="366" spans="12:14" x14ac:dyDescent="0.3">
      <c r="L366">
        <v>354</v>
      </c>
      <c r="M366">
        <v>0</v>
      </c>
      <c r="N366">
        <v>0.21838699090741065</v>
      </c>
    </row>
    <row r="367" spans="12:14" x14ac:dyDescent="0.3">
      <c r="L367">
        <v>355</v>
      </c>
      <c r="M367">
        <v>0</v>
      </c>
      <c r="N367">
        <v>0.20113552165906418</v>
      </c>
    </row>
    <row r="368" spans="12:14" x14ac:dyDescent="0.3">
      <c r="L368">
        <v>356</v>
      </c>
      <c r="M368">
        <v>0</v>
      </c>
      <c r="N368">
        <v>0.75565430780660603</v>
      </c>
    </row>
    <row r="369" spans="12:14" x14ac:dyDescent="0.3">
      <c r="L369">
        <v>357</v>
      </c>
      <c r="M369">
        <v>0</v>
      </c>
      <c r="N369">
        <v>2.5249411557433375E-5</v>
      </c>
    </row>
    <row r="370" spans="12:14" x14ac:dyDescent="0.3">
      <c r="L370">
        <v>358</v>
      </c>
      <c r="M370">
        <v>0</v>
      </c>
      <c r="N370">
        <v>5.6405341578600493E-4</v>
      </c>
    </row>
    <row r="371" spans="12:14" x14ac:dyDescent="0.3">
      <c r="L371">
        <v>359</v>
      </c>
      <c r="M371">
        <v>0</v>
      </c>
      <c r="N371">
        <v>1.3126087094378664E-3</v>
      </c>
    </row>
    <row r="372" spans="12:14" x14ac:dyDescent="0.3">
      <c r="L372">
        <v>360</v>
      </c>
      <c r="M372">
        <v>0</v>
      </c>
      <c r="N372">
        <v>3.9059834029609979E-3</v>
      </c>
    </row>
    <row r="373" spans="12:14" x14ac:dyDescent="0.3">
      <c r="L373">
        <v>361</v>
      </c>
      <c r="M373">
        <v>0</v>
      </c>
      <c r="N373">
        <v>1.0787766027855765E-2</v>
      </c>
    </row>
    <row r="374" spans="12:14" x14ac:dyDescent="0.3">
      <c r="L374">
        <v>362</v>
      </c>
      <c r="M374">
        <v>0</v>
      </c>
      <c r="N374">
        <v>0.18551073330075749</v>
      </c>
    </row>
    <row r="375" spans="12:14" x14ac:dyDescent="0.3">
      <c r="L375">
        <v>363</v>
      </c>
      <c r="M375">
        <v>0</v>
      </c>
      <c r="N375">
        <v>3.9486606222843395E-4</v>
      </c>
    </row>
    <row r="376" spans="12:14" x14ac:dyDescent="0.3">
      <c r="L376">
        <v>364</v>
      </c>
      <c r="M376">
        <v>1</v>
      </c>
      <c r="N376">
        <v>0.53663671029184234</v>
      </c>
    </row>
    <row r="377" spans="12:14" x14ac:dyDescent="0.3">
      <c r="L377">
        <v>365</v>
      </c>
      <c r="M377">
        <v>0</v>
      </c>
      <c r="N377">
        <v>4.9242696741906714E-3</v>
      </c>
    </row>
    <row r="378" spans="12:14" x14ac:dyDescent="0.3">
      <c r="L378">
        <v>366</v>
      </c>
      <c r="M378">
        <v>0</v>
      </c>
      <c r="N378">
        <v>0.42143027349607515</v>
      </c>
    </row>
    <row r="379" spans="12:14" x14ac:dyDescent="0.3">
      <c r="L379">
        <v>367</v>
      </c>
      <c r="M379">
        <v>0</v>
      </c>
      <c r="N379">
        <v>3.1941745689796489E-5</v>
      </c>
    </row>
    <row r="380" spans="12:14" x14ac:dyDescent="0.3">
      <c r="L380">
        <v>368</v>
      </c>
      <c r="M380">
        <v>0</v>
      </c>
      <c r="N380">
        <v>5.284265296213393E-3</v>
      </c>
    </row>
    <row r="381" spans="12:14" x14ac:dyDescent="0.3">
      <c r="L381">
        <v>369</v>
      </c>
      <c r="M381">
        <v>1</v>
      </c>
      <c r="N381">
        <v>0.32581673517919285</v>
      </c>
    </row>
    <row r="382" spans="12:14" x14ac:dyDescent="0.3">
      <c r="L382">
        <v>370</v>
      </c>
      <c r="M382">
        <v>0</v>
      </c>
      <c r="N382">
        <v>1.0030025245643472E-2</v>
      </c>
    </row>
    <row r="383" spans="12:14" x14ac:dyDescent="0.3">
      <c r="L383">
        <v>371</v>
      </c>
      <c r="M383">
        <v>0</v>
      </c>
      <c r="N383">
        <v>0.55771509159555466</v>
      </c>
    </row>
    <row r="384" spans="12:14" x14ac:dyDescent="0.3">
      <c r="L384">
        <v>372</v>
      </c>
      <c r="M384">
        <v>0</v>
      </c>
      <c r="N384">
        <v>1.5644879000771298E-3</v>
      </c>
    </row>
    <row r="385" spans="12:14" x14ac:dyDescent="0.3">
      <c r="L385">
        <v>373</v>
      </c>
      <c r="M385">
        <v>0</v>
      </c>
      <c r="N385">
        <v>0.30275126255106427</v>
      </c>
    </row>
    <row r="386" spans="12:14" x14ac:dyDescent="0.3">
      <c r="L386">
        <v>374</v>
      </c>
      <c r="M386">
        <v>0</v>
      </c>
      <c r="N386">
        <v>0.51431511198092261</v>
      </c>
    </row>
    <row r="387" spans="12:14" x14ac:dyDescent="0.3">
      <c r="L387">
        <v>375</v>
      </c>
      <c r="M387">
        <v>0</v>
      </c>
      <c r="N387">
        <v>0.14707647402740964</v>
      </c>
    </row>
    <row r="388" spans="12:14" x14ac:dyDescent="0.3">
      <c r="L388">
        <v>376</v>
      </c>
      <c r="M388">
        <v>0</v>
      </c>
      <c r="N388">
        <v>1.0488849045102071E-2</v>
      </c>
    </row>
    <row r="389" spans="12:14" x14ac:dyDescent="0.3">
      <c r="L389">
        <v>377</v>
      </c>
      <c r="M389">
        <v>0</v>
      </c>
      <c r="N389">
        <v>3.9378432402781679E-5</v>
      </c>
    </row>
    <row r="390" spans="12:14" x14ac:dyDescent="0.3">
      <c r="L390">
        <v>378</v>
      </c>
      <c r="M390">
        <v>1</v>
      </c>
      <c r="N390">
        <v>0.45973955389550336</v>
      </c>
    </row>
    <row r="391" spans="12:14" x14ac:dyDescent="0.3">
      <c r="L391">
        <v>379</v>
      </c>
      <c r="M391">
        <v>1</v>
      </c>
      <c r="N391">
        <v>3.9151494631680127E-2</v>
      </c>
    </row>
    <row r="392" spans="12:14" x14ac:dyDescent="0.3">
      <c r="L392">
        <v>380</v>
      </c>
      <c r="M392">
        <v>0</v>
      </c>
      <c r="N392">
        <v>4.1174521571548786E-2</v>
      </c>
    </row>
    <row r="393" spans="12:14" x14ac:dyDescent="0.3">
      <c r="L393">
        <v>381</v>
      </c>
      <c r="M393">
        <v>0</v>
      </c>
      <c r="N393">
        <v>3.1954064347786322E-5</v>
      </c>
    </row>
    <row r="394" spans="12:14" x14ac:dyDescent="0.3">
      <c r="L394">
        <v>382</v>
      </c>
      <c r="M394">
        <v>0</v>
      </c>
      <c r="N394">
        <v>0.14650842595377281</v>
      </c>
    </row>
    <row r="395" spans="12:14" x14ac:dyDescent="0.3">
      <c r="L395">
        <v>383</v>
      </c>
      <c r="M395">
        <v>0</v>
      </c>
      <c r="N395">
        <v>0.80345439115602457</v>
      </c>
    </row>
    <row r="396" spans="12:14" x14ac:dyDescent="0.3">
      <c r="L396">
        <v>384</v>
      </c>
      <c r="M396">
        <v>0</v>
      </c>
      <c r="N396">
        <v>0.17832841181065553</v>
      </c>
    </row>
    <row r="397" spans="12:14" x14ac:dyDescent="0.3">
      <c r="L397">
        <v>385</v>
      </c>
      <c r="M397">
        <v>0</v>
      </c>
      <c r="N397">
        <v>0.11029304219598403</v>
      </c>
    </row>
    <row r="398" spans="12:14" x14ac:dyDescent="0.3">
      <c r="L398">
        <v>386</v>
      </c>
      <c r="M398">
        <v>0</v>
      </c>
      <c r="N398">
        <v>4.5113473382852987E-2</v>
      </c>
    </row>
    <row r="399" spans="12:14" x14ac:dyDescent="0.3">
      <c r="L399">
        <v>387</v>
      </c>
      <c r="M399">
        <v>0</v>
      </c>
      <c r="N399">
        <v>3.3286888351675749E-5</v>
      </c>
    </row>
    <row r="400" spans="12:14" x14ac:dyDescent="0.3">
      <c r="L400">
        <v>388</v>
      </c>
      <c r="M400">
        <v>0</v>
      </c>
      <c r="N400">
        <v>0.12388797478039178</v>
      </c>
    </row>
    <row r="401" spans="12:14" x14ac:dyDescent="0.3">
      <c r="L401">
        <v>389</v>
      </c>
      <c r="M401">
        <v>0</v>
      </c>
      <c r="N401">
        <v>4.3188667326821639E-2</v>
      </c>
    </row>
    <row r="402" spans="12:14" x14ac:dyDescent="0.3">
      <c r="L402">
        <v>390</v>
      </c>
      <c r="M402">
        <v>1</v>
      </c>
      <c r="N402">
        <v>8.0529705653917066E-2</v>
      </c>
    </row>
    <row r="403" spans="12:14" x14ac:dyDescent="0.3">
      <c r="L403">
        <v>391</v>
      </c>
      <c r="M403">
        <v>1</v>
      </c>
      <c r="N403">
        <v>8.5353882518857588E-2</v>
      </c>
    </row>
    <row r="404" spans="12:14" x14ac:dyDescent="0.3">
      <c r="L404">
        <v>392</v>
      </c>
      <c r="M404">
        <v>1</v>
      </c>
      <c r="N404">
        <v>1.4056011173495522E-2</v>
      </c>
    </row>
    <row r="405" spans="12:14" x14ac:dyDescent="0.3">
      <c r="L405">
        <v>393</v>
      </c>
      <c r="M405">
        <v>1</v>
      </c>
      <c r="N405">
        <v>3.34359992386591E-3</v>
      </c>
    </row>
    <row r="406" spans="12:14" x14ac:dyDescent="0.3">
      <c r="L406">
        <v>394</v>
      </c>
      <c r="M406">
        <v>0</v>
      </c>
      <c r="N406">
        <v>2.0938530570544213E-2</v>
      </c>
    </row>
    <row r="407" spans="12:14" x14ac:dyDescent="0.3">
      <c r="L407">
        <v>395</v>
      </c>
      <c r="M407">
        <v>0</v>
      </c>
      <c r="N407">
        <v>2.7726597797855026E-4</v>
      </c>
    </row>
    <row r="408" spans="12:14" x14ac:dyDescent="0.3">
      <c r="L408">
        <v>396</v>
      </c>
      <c r="M408">
        <v>0</v>
      </c>
      <c r="N408">
        <v>4.4456570929928268E-4</v>
      </c>
    </row>
    <row r="409" spans="12:14" x14ac:dyDescent="0.3">
      <c r="L409">
        <v>397</v>
      </c>
      <c r="M409">
        <v>0</v>
      </c>
      <c r="N409">
        <v>5.0189614511632133E-3</v>
      </c>
    </row>
    <row r="410" spans="12:14" x14ac:dyDescent="0.3">
      <c r="L410">
        <v>398</v>
      </c>
      <c r="M410">
        <v>0</v>
      </c>
      <c r="N410">
        <v>7.6329068180945692E-5</v>
      </c>
    </row>
    <row r="411" spans="12:14" x14ac:dyDescent="0.3">
      <c r="L411">
        <v>399</v>
      </c>
      <c r="M411">
        <v>0</v>
      </c>
      <c r="N411">
        <v>0.93952291249670727</v>
      </c>
    </row>
    <row r="412" spans="12:14" x14ac:dyDescent="0.3">
      <c r="L412">
        <v>400</v>
      </c>
      <c r="M412">
        <v>0</v>
      </c>
      <c r="N412">
        <v>0.76556872105495721</v>
      </c>
    </row>
    <row r="413" spans="12:14" x14ac:dyDescent="0.3">
      <c r="L413">
        <v>401</v>
      </c>
      <c r="M413">
        <v>0</v>
      </c>
      <c r="N413">
        <v>0.29450976230158471</v>
      </c>
    </row>
    <row r="414" spans="12:14" x14ac:dyDescent="0.3">
      <c r="L414">
        <v>402</v>
      </c>
      <c r="M414">
        <v>1</v>
      </c>
      <c r="N414">
        <v>0.40692342574295021</v>
      </c>
    </row>
    <row r="415" spans="12:14" x14ac:dyDescent="0.3">
      <c r="L415">
        <v>403</v>
      </c>
      <c r="M415">
        <v>0</v>
      </c>
      <c r="N415">
        <v>3.1056111893013019E-3</v>
      </c>
    </row>
    <row r="416" spans="12:14" x14ac:dyDescent="0.3">
      <c r="L416">
        <v>404</v>
      </c>
      <c r="M416">
        <v>0</v>
      </c>
      <c r="N416">
        <v>0.45152118374770839</v>
      </c>
    </row>
    <row r="417" spans="12:14" x14ac:dyDescent="0.3">
      <c r="L417">
        <v>405</v>
      </c>
      <c r="M417">
        <v>0</v>
      </c>
      <c r="N417">
        <v>7.929664160151517E-5</v>
      </c>
    </row>
    <row r="418" spans="12:14" x14ac:dyDescent="0.3">
      <c r="L418">
        <v>406</v>
      </c>
      <c r="M418">
        <v>0</v>
      </c>
      <c r="N418">
        <v>4.8197657278554237E-3</v>
      </c>
    </row>
    <row r="419" spans="12:14" x14ac:dyDescent="0.3">
      <c r="L419">
        <v>407</v>
      </c>
      <c r="M419">
        <v>0</v>
      </c>
      <c r="N419">
        <v>0.11601462745915356</v>
      </c>
    </row>
    <row r="420" spans="12:14" x14ac:dyDescent="0.3">
      <c r="L420">
        <v>408</v>
      </c>
      <c r="M420">
        <v>0</v>
      </c>
      <c r="N420">
        <v>1.8659742780970554E-4</v>
      </c>
    </row>
    <row r="421" spans="12:14" x14ac:dyDescent="0.3">
      <c r="L421">
        <v>409</v>
      </c>
      <c r="M421">
        <v>0</v>
      </c>
      <c r="N421">
        <v>0.45784123840365282</v>
      </c>
    </row>
    <row r="422" spans="12:14" x14ac:dyDescent="0.3">
      <c r="L422">
        <v>410</v>
      </c>
      <c r="M422">
        <v>0</v>
      </c>
      <c r="N422">
        <v>4.6145131117239918E-3</v>
      </c>
    </row>
    <row r="423" spans="12:14" x14ac:dyDescent="0.3">
      <c r="L423">
        <v>411</v>
      </c>
      <c r="M423">
        <v>0</v>
      </c>
      <c r="N423">
        <v>2.2645719855711341E-4</v>
      </c>
    </row>
    <row r="424" spans="12:14" x14ac:dyDescent="0.3">
      <c r="L424">
        <v>412</v>
      </c>
      <c r="M424">
        <v>0</v>
      </c>
      <c r="N424">
        <v>0.95168900860008587</v>
      </c>
    </row>
    <row r="425" spans="12:14" x14ac:dyDescent="0.3">
      <c r="L425">
        <v>413</v>
      </c>
      <c r="M425">
        <v>0</v>
      </c>
      <c r="N425">
        <v>5.3408111143593783E-6</v>
      </c>
    </row>
    <row r="426" spans="12:14" x14ac:dyDescent="0.3">
      <c r="L426">
        <v>414</v>
      </c>
      <c r="M426">
        <v>0</v>
      </c>
      <c r="N426">
        <v>1.556719448528042E-4</v>
      </c>
    </row>
    <row r="427" spans="12:14" x14ac:dyDescent="0.3">
      <c r="L427">
        <v>415</v>
      </c>
      <c r="M427">
        <v>0</v>
      </c>
      <c r="N427">
        <v>4.0280720353560789E-3</v>
      </c>
    </row>
    <row r="428" spans="12:14" x14ac:dyDescent="0.3">
      <c r="L428">
        <v>416</v>
      </c>
      <c r="M428">
        <v>0</v>
      </c>
      <c r="N428">
        <v>2.3719825384732746E-2</v>
      </c>
    </row>
    <row r="429" spans="12:14" x14ac:dyDescent="0.3">
      <c r="L429">
        <v>417</v>
      </c>
      <c r="M429">
        <v>0</v>
      </c>
      <c r="N429">
        <v>9.934614232398381E-2</v>
      </c>
    </row>
    <row r="430" spans="12:14" x14ac:dyDescent="0.3">
      <c r="L430">
        <v>418</v>
      </c>
      <c r="M430">
        <v>0</v>
      </c>
      <c r="N430">
        <v>2.6656335472951494E-2</v>
      </c>
    </row>
    <row r="431" spans="12:14" x14ac:dyDescent="0.3">
      <c r="L431">
        <v>419</v>
      </c>
      <c r="M431">
        <v>0</v>
      </c>
      <c r="N431">
        <v>0.12746462970759007</v>
      </c>
    </row>
    <row r="432" spans="12:14" x14ac:dyDescent="0.3">
      <c r="L432">
        <v>420</v>
      </c>
      <c r="M432">
        <v>0</v>
      </c>
      <c r="N432">
        <v>0.18839907314969642</v>
      </c>
    </row>
    <row r="433" spans="12:14" x14ac:dyDescent="0.3">
      <c r="L433">
        <v>421</v>
      </c>
      <c r="M433">
        <v>0</v>
      </c>
      <c r="N433">
        <v>5.8950468272414507E-2</v>
      </c>
    </row>
    <row r="434" spans="12:14" x14ac:dyDescent="0.3">
      <c r="L434">
        <v>422</v>
      </c>
      <c r="M434">
        <v>1</v>
      </c>
      <c r="N434">
        <v>1.8664066925330135E-2</v>
      </c>
    </row>
    <row r="435" spans="12:14" x14ac:dyDescent="0.3">
      <c r="L435">
        <v>423</v>
      </c>
      <c r="M435">
        <v>0</v>
      </c>
      <c r="N435">
        <v>1.4831622956986543E-4</v>
      </c>
    </row>
    <row r="436" spans="12:14" x14ac:dyDescent="0.3">
      <c r="L436">
        <v>424</v>
      </c>
      <c r="M436">
        <v>0</v>
      </c>
      <c r="N436">
        <v>0.179238896151348</v>
      </c>
    </row>
    <row r="437" spans="12:14" x14ac:dyDescent="0.3">
      <c r="L437">
        <v>425</v>
      </c>
      <c r="M437">
        <v>0</v>
      </c>
      <c r="N437">
        <v>0.83957521397857648</v>
      </c>
    </row>
    <row r="438" spans="12:14" x14ac:dyDescent="0.3">
      <c r="L438">
        <v>426</v>
      </c>
      <c r="M438">
        <v>0</v>
      </c>
      <c r="N438">
        <v>0.11219644478146393</v>
      </c>
    </row>
    <row r="439" spans="12:14" x14ac:dyDescent="0.3">
      <c r="L439">
        <v>427</v>
      </c>
      <c r="M439">
        <v>1</v>
      </c>
      <c r="N439">
        <v>4.6665782808185476E-4</v>
      </c>
    </row>
    <row r="440" spans="12:14" x14ac:dyDescent="0.3">
      <c r="L440">
        <v>428</v>
      </c>
      <c r="M440">
        <v>0</v>
      </c>
      <c r="N440">
        <v>0.88525890879439739</v>
      </c>
    </row>
    <row r="441" spans="12:14" x14ac:dyDescent="0.3">
      <c r="L441">
        <v>429</v>
      </c>
      <c r="M441">
        <v>0</v>
      </c>
      <c r="N441">
        <v>6.0575924970467975E-3</v>
      </c>
    </row>
    <row r="442" spans="12:14" x14ac:dyDescent="0.3">
      <c r="L442">
        <v>430</v>
      </c>
      <c r="M442">
        <v>0</v>
      </c>
      <c r="N442">
        <v>1.4413371221023441E-3</v>
      </c>
    </row>
    <row r="443" spans="12:14" x14ac:dyDescent="0.3">
      <c r="L443">
        <v>431</v>
      </c>
      <c r="M443">
        <v>0</v>
      </c>
      <c r="N443">
        <v>0.56022822904736436</v>
      </c>
    </row>
    <row r="444" spans="12:14" x14ac:dyDescent="0.3">
      <c r="L444">
        <v>432</v>
      </c>
      <c r="M444">
        <v>0</v>
      </c>
      <c r="N444">
        <v>7.9325919162177418E-5</v>
      </c>
    </row>
    <row r="445" spans="12:14" x14ac:dyDescent="0.3">
      <c r="L445">
        <v>433</v>
      </c>
      <c r="M445">
        <v>0</v>
      </c>
      <c r="N445">
        <v>0.19148888410803919</v>
      </c>
    </row>
    <row r="446" spans="12:14" x14ac:dyDescent="0.3">
      <c r="L446">
        <v>434</v>
      </c>
      <c r="M446">
        <v>0</v>
      </c>
      <c r="N446">
        <v>8.6462623359524534E-3</v>
      </c>
    </row>
    <row r="447" spans="12:14" x14ac:dyDescent="0.3">
      <c r="L447">
        <v>435</v>
      </c>
      <c r="M447">
        <v>0</v>
      </c>
      <c r="N447">
        <v>7.790807179797775E-3</v>
      </c>
    </row>
    <row r="448" spans="12:14" x14ac:dyDescent="0.3">
      <c r="L448">
        <v>436</v>
      </c>
      <c r="M448">
        <v>0</v>
      </c>
      <c r="N448">
        <v>4.4493088409120599E-2</v>
      </c>
    </row>
    <row r="449" spans="12:14" x14ac:dyDescent="0.3">
      <c r="L449">
        <v>437</v>
      </c>
      <c r="M449">
        <v>0</v>
      </c>
      <c r="N449">
        <v>2.2165307629505102E-4</v>
      </c>
    </row>
    <row r="450" spans="12:14" x14ac:dyDescent="0.3">
      <c r="L450">
        <v>438</v>
      </c>
      <c r="M450">
        <v>0</v>
      </c>
      <c r="N450">
        <v>0.7635570796342307</v>
      </c>
    </row>
    <row r="451" spans="12:14" x14ac:dyDescent="0.3">
      <c r="L451">
        <v>439</v>
      </c>
      <c r="M451">
        <v>0</v>
      </c>
      <c r="N451">
        <v>0.25533425870391413</v>
      </c>
    </row>
    <row r="452" spans="12:14" x14ac:dyDescent="0.3">
      <c r="L452">
        <v>440</v>
      </c>
      <c r="M452">
        <v>0</v>
      </c>
      <c r="N452">
        <v>1.7735286725005666E-3</v>
      </c>
    </row>
    <row r="453" spans="12:14" x14ac:dyDescent="0.3">
      <c r="L453">
        <v>441</v>
      </c>
      <c r="M453">
        <v>1</v>
      </c>
      <c r="N453">
        <v>0.22459175891318775</v>
      </c>
    </row>
    <row r="454" spans="12:14" x14ac:dyDescent="0.3">
      <c r="L454">
        <v>442</v>
      </c>
      <c r="M454">
        <v>0</v>
      </c>
      <c r="N454">
        <v>3.7667943040548997E-2</v>
      </c>
    </row>
    <row r="455" spans="12:14" x14ac:dyDescent="0.3">
      <c r="L455">
        <v>443</v>
      </c>
      <c r="M455">
        <v>0</v>
      </c>
      <c r="N455">
        <v>1.3503878437852127E-3</v>
      </c>
    </row>
    <row r="456" spans="12:14" x14ac:dyDescent="0.3">
      <c r="L456">
        <v>444</v>
      </c>
      <c r="M456">
        <v>0</v>
      </c>
      <c r="N456">
        <v>1.3911059703325824E-3</v>
      </c>
    </row>
    <row r="457" spans="12:14" x14ac:dyDescent="0.3">
      <c r="L457">
        <v>445</v>
      </c>
      <c r="M457">
        <v>0</v>
      </c>
      <c r="N457">
        <v>0.99899263260668247</v>
      </c>
    </row>
    <row r="458" spans="12:14" x14ac:dyDescent="0.3">
      <c r="L458">
        <v>446</v>
      </c>
      <c r="M458">
        <v>0</v>
      </c>
      <c r="N458">
        <v>0.94965088951098053</v>
      </c>
    </row>
    <row r="459" spans="12:14" x14ac:dyDescent="0.3">
      <c r="L459">
        <v>447</v>
      </c>
      <c r="M459">
        <v>0</v>
      </c>
      <c r="N459">
        <v>0.99490476364381819</v>
      </c>
    </row>
    <row r="460" spans="12:14" x14ac:dyDescent="0.3">
      <c r="L460">
        <v>448</v>
      </c>
      <c r="M460">
        <v>1</v>
      </c>
      <c r="N460">
        <v>0.75484479532793824</v>
      </c>
    </row>
    <row r="461" spans="12:14" x14ac:dyDescent="0.3">
      <c r="L461">
        <v>449</v>
      </c>
      <c r="M461">
        <v>1</v>
      </c>
      <c r="N461">
        <v>1.2283376838638802E-3</v>
      </c>
    </row>
    <row r="462" spans="12:14" x14ac:dyDescent="0.3">
      <c r="L462">
        <v>450</v>
      </c>
      <c r="M462">
        <v>0</v>
      </c>
      <c r="N462">
        <v>1.5989866743726353E-4</v>
      </c>
    </row>
    <row r="463" spans="12:14" x14ac:dyDescent="0.3">
      <c r="L463">
        <v>451</v>
      </c>
      <c r="M463">
        <v>0</v>
      </c>
      <c r="N463">
        <v>1.8791201996426053E-2</v>
      </c>
    </row>
    <row r="464" spans="12:14" x14ac:dyDescent="0.3">
      <c r="L464">
        <v>452</v>
      </c>
      <c r="M464">
        <v>0</v>
      </c>
      <c r="N464">
        <v>1.312337848909799E-3</v>
      </c>
    </row>
    <row r="465" spans="12:14" x14ac:dyDescent="0.3">
      <c r="L465">
        <v>453</v>
      </c>
      <c r="M465">
        <v>0</v>
      </c>
      <c r="N465">
        <v>3.5265943122068494E-3</v>
      </c>
    </row>
    <row r="466" spans="12:14" x14ac:dyDescent="0.3">
      <c r="L466">
        <v>454</v>
      </c>
      <c r="M466">
        <v>0</v>
      </c>
      <c r="N466">
        <v>4.8555999450724113E-2</v>
      </c>
    </row>
    <row r="467" spans="12:14" x14ac:dyDescent="0.3">
      <c r="L467">
        <v>455</v>
      </c>
      <c r="M467">
        <v>0</v>
      </c>
      <c r="N467">
        <v>8.9840052394817767E-5</v>
      </c>
    </row>
    <row r="468" spans="12:14" x14ac:dyDescent="0.3">
      <c r="L468">
        <v>456</v>
      </c>
      <c r="M468">
        <v>0</v>
      </c>
      <c r="N468">
        <v>2.3622984122998823E-2</v>
      </c>
    </row>
    <row r="469" spans="12:14" x14ac:dyDescent="0.3">
      <c r="L469">
        <v>457</v>
      </c>
      <c r="M469">
        <v>0</v>
      </c>
      <c r="N469">
        <v>8.6751870107523981E-4</v>
      </c>
    </row>
    <row r="470" spans="12:14" x14ac:dyDescent="0.3">
      <c r="L470">
        <v>458</v>
      </c>
      <c r="M470">
        <v>0</v>
      </c>
      <c r="N470">
        <v>0.26888409548286057</v>
      </c>
    </row>
    <row r="471" spans="12:14" x14ac:dyDescent="0.3">
      <c r="L471">
        <v>459</v>
      </c>
      <c r="M471">
        <v>0</v>
      </c>
      <c r="N471">
        <v>0.38124292505390295</v>
      </c>
    </row>
    <row r="472" spans="12:14" x14ac:dyDescent="0.3">
      <c r="L472">
        <v>460</v>
      </c>
      <c r="M472">
        <v>0</v>
      </c>
      <c r="N472">
        <v>0.28179304092453916</v>
      </c>
    </row>
    <row r="473" spans="12:14" x14ac:dyDescent="0.3">
      <c r="L473">
        <v>461</v>
      </c>
      <c r="M473">
        <v>0</v>
      </c>
      <c r="N473">
        <v>9.2506937410978351E-6</v>
      </c>
    </row>
    <row r="474" spans="12:14" x14ac:dyDescent="0.3">
      <c r="L474">
        <v>462</v>
      </c>
      <c r="M474">
        <v>0</v>
      </c>
      <c r="N474">
        <v>6.3708616114863142E-2</v>
      </c>
    </row>
    <row r="475" spans="12:14" x14ac:dyDescent="0.3">
      <c r="L475">
        <v>463</v>
      </c>
      <c r="M475">
        <v>0</v>
      </c>
      <c r="N475">
        <v>0.37129379502837534</v>
      </c>
    </row>
    <row r="476" spans="12:14" x14ac:dyDescent="0.3">
      <c r="L476">
        <v>464</v>
      </c>
      <c r="M476">
        <v>0</v>
      </c>
      <c r="N476">
        <v>2.1544157489462312E-2</v>
      </c>
    </row>
    <row r="477" spans="12:14" x14ac:dyDescent="0.3">
      <c r="L477">
        <v>465</v>
      </c>
      <c r="M477">
        <v>0</v>
      </c>
      <c r="N477">
        <v>5.3133736389941117E-3</v>
      </c>
    </row>
    <row r="478" spans="12:14" x14ac:dyDescent="0.3">
      <c r="L478">
        <v>466</v>
      </c>
      <c r="M478">
        <v>0</v>
      </c>
      <c r="N478">
        <v>8.42387001397942E-3</v>
      </c>
    </row>
    <row r="479" spans="12:14" x14ac:dyDescent="0.3">
      <c r="L479">
        <v>467</v>
      </c>
      <c r="M479">
        <v>0</v>
      </c>
      <c r="N479">
        <v>3.4039700862719118E-4</v>
      </c>
    </row>
    <row r="480" spans="12:14" x14ac:dyDescent="0.3">
      <c r="L480">
        <v>468</v>
      </c>
      <c r="M480">
        <v>0</v>
      </c>
      <c r="N480">
        <v>7.8719986410537013E-3</v>
      </c>
    </row>
    <row r="481" spans="12:14" x14ac:dyDescent="0.3">
      <c r="L481">
        <v>469</v>
      </c>
      <c r="M481">
        <v>1</v>
      </c>
      <c r="N481">
        <v>2.6283903359516886E-4</v>
      </c>
    </row>
    <row r="482" spans="12:14" x14ac:dyDescent="0.3">
      <c r="L482">
        <v>470</v>
      </c>
      <c r="M482">
        <v>0</v>
      </c>
      <c r="N482">
        <v>1.133415587706821E-2</v>
      </c>
    </row>
    <row r="483" spans="12:14" x14ac:dyDescent="0.3">
      <c r="L483">
        <v>471</v>
      </c>
      <c r="M483">
        <v>0</v>
      </c>
      <c r="N483">
        <v>1.989012405586237E-3</v>
      </c>
    </row>
    <row r="484" spans="12:14" x14ac:dyDescent="0.3">
      <c r="L484">
        <v>472</v>
      </c>
      <c r="M484">
        <v>0</v>
      </c>
      <c r="N484">
        <v>7.00648248262958E-3</v>
      </c>
    </row>
    <row r="485" spans="12:14" x14ac:dyDescent="0.3">
      <c r="L485">
        <v>473</v>
      </c>
      <c r="M485">
        <v>0</v>
      </c>
      <c r="N485">
        <v>0.4940755767271589</v>
      </c>
    </row>
    <row r="486" spans="12:14" x14ac:dyDescent="0.3">
      <c r="L486">
        <v>474</v>
      </c>
      <c r="M486">
        <v>0</v>
      </c>
      <c r="N486">
        <v>2.2182459640938988E-2</v>
      </c>
    </row>
    <row r="487" spans="12:14" x14ac:dyDescent="0.3">
      <c r="L487">
        <v>475</v>
      </c>
      <c r="M487">
        <v>1</v>
      </c>
      <c r="N487">
        <v>0.93195399544367841</v>
      </c>
    </row>
    <row r="488" spans="12:14" x14ac:dyDescent="0.3">
      <c r="L488">
        <v>476</v>
      </c>
      <c r="M488">
        <v>0</v>
      </c>
      <c r="N488">
        <v>0.97519055006725175</v>
      </c>
    </row>
    <row r="489" spans="12:14" x14ac:dyDescent="0.3">
      <c r="L489">
        <v>477</v>
      </c>
      <c r="M489">
        <v>0</v>
      </c>
      <c r="N489">
        <v>5.7102766666268437E-5</v>
      </c>
    </row>
    <row r="490" spans="12:14" x14ac:dyDescent="0.3">
      <c r="L490">
        <v>478</v>
      </c>
      <c r="M490">
        <v>0</v>
      </c>
      <c r="N490">
        <v>7.6960692203670002E-5</v>
      </c>
    </row>
    <row r="491" spans="12:14" x14ac:dyDescent="0.3">
      <c r="L491">
        <v>479</v>
      </c>
      <c r="M491">
        <v>0</v>
      </c>
      <c r="N491">
        <v>8.1863097616284245E-3</v>
      </c>
    </row>
    <row r="492" spans="12:14" x14ac:dyDescent="0.3">
      <c r="L492">
        <v>480</v>
      </c>
      <c r="M492">
        <v>0</v>
      </c>
      <c r="N492">
        <v>6.7053556866014958E-3</v>
      </c>
    </row>
    <row r="493" spans="12:14" x14ac:dyDescent="0.3">
      <c r="L493">
        <v>481</v>
      </c>
      <c r="M493">
        <v>1</v>
      </c>
      <c r="N493">
        <v>1.0535133834239624E-2</v>
      </c>
    </row>
    <row r="494" spans="12:14" x14ac:dyDescent="0.3">
      <c r="L494">
        <v>482</v>
      </c>
      <c r="M494">
        <v>1</v>
      </c>
      <c r="N494">
        <v>0.11694909770746398</v>
      </c>
    </row>
    <row r="495" spans="12:14" x14ac:dyDescent="0.3">
      <c r="L495">
        <v>483</v>
      </c>
      <c r="M495">
        <v>0</v>
      </c>
      <c r="N495">
        <v>7.6228541064006184E-3</v>
      </c>
    </row>
    <row r="496" spans="12:14" x14ac:dyDescent="0.3">
      <c r="L496">
        <v>484</v>
      </c>
      <c r="M496">
        <v>0</v>
      </c>
      <c r="N496">
        <v>0.33611161140675028</v>
      </c>
    </row>
    <row r="497" spans="12:14" x14ac:dyDescent="0.3">
      <c r="L497">
        <v>485</v>
      </c>
      <c r="M497">
        <v>0</v>
      </c>
      <c r="N497">
        <v>1.1046072688373522E-3</v>
      </c>
    </row>
    <row r="498" spans="12:14" x14ac:dyDescent="0.3">
      <c r="L498">
        <v>486</v>
      </c>
      <c r="M498">
        <v>1</v>
      </c>
      <c r="N498">
        <v>8.123385450763557E-3</v>
      </c>
    </row>
    <row r="499" spans="12:14" x14ac:dyDescent="0.3">
      <c r="L499">
        <v>487</v>
      </c>
      <c r="M499">
        <v>1</v>
      </c>
      <c r="N499">
        <v>5.1388835314431572E-2</v>
      </c>
    </row>
    <row r="500" spans="12:14" x14ac:dyDescent="0.3">
      <c r="L500">
        <v>488</v>
      </c>
      <c r="M500">
        <v>0</v>
      </c>
      <c r="N500">
        <v>0.99545281287096465</v>
      </c>
    </row>
    <row r="501" spans="12:14" x14ac:dyDescent="0.3">
      <c r="L501">
        <v>489</v>
      </c>
      <c r="M501">
        <v>0</v>
      </c>
      <c r="N501">
        <v>0.70959165501739085</v>
      </c>
    </row>
    <row r="502" spans="12:14" x14ac:dyDescent="0.3">
      <c r="L502">
        <v>490</v>
      </c>
      <c r="M502">
        <v>0</v>
      </c>
      <c r="N502">
        <v>0.10920088073835967</v>
      </c>
    </row>
    <row r="503" spans="12:14" x14ac:dyDescent="0.3">
      <c r="L503">
        <v>491</v>
      </c>
      <c r="M503">
        <v>0</v>
      </c>
      <c r="N503">
        <v>0.22720847359183741</v>
      </c>
    </row>
    <row r="504" spans="12:14" x14ac:dyDescent="0.3">
      <c r="L504">
        <v>492</v>
      </c>
      <c r="M504">
        <v>0</v>
      </c>
      <c r="N504">
        <v>1.6481904739059552E-3</v>
      </c>
    </row>
    <row r="505" spans="12:14" x14ac:dyDescent="0.3">
      <c r="L505">
        <v>493</v>
      </c>
      <c r="M505">
        <v>0</v>
      </c>
      <c r="N505">
        <v>9.5231437475474417E-4</v>
      </c>
    </row>
    <row r="506" spans="12:14" x14ac:dyDescent="0.3">
      <c r="L506">
        <v>494</v>
      </c>
      <c r="M506">
        <v>0</v>
      </c>
      <c r="N506">
        <v>8.371878567906664E-2</v>
      </c>
    </row>
    <row r="507" spans="12:14" x14ac:dyDescent="0.3">
      <c r="L507">
        <v>495</v>
      </c>
      <c r="M507">
        <v>0</v>
      </c>
      <c r="N507">
        <v>3.3423582739434183E-5</v>
      </c>
    </row>
    <row r="508" spans="12:14" x14ac:dyDescent="0.3">
      <c r="L508">
        <v>496</v>
      </c>
      <c r="M508">
        <v>0</v>
      </c>
      <c r="N508">
        <v>0.70270255565310724</v>
      </c>
    </row>
    <row r="509" spans="12:14" x14ac:dyDescent="0.3">
      <c r="L509">
        <v>497</v>
      </c>
      <c r="M509">
        <v>0</v>
      </c>
      <c r="N509">
        <v>1.9724225601649584E-3</v>
      </c>
    </row>
    <row r="510" spans="12:14" x14ac:dyDescent="0.3">
      <c r="L510">
        <v>498</v>
      </c>
      <c r="M510">
        <v>0</v>
      </c>
      <c r="N510">
        <v>6.5157772540457626E-2</v>
      </c>
    </row>
    <row r="511" spans="12:14" x14ac:dyDescent="0.3">
      <c r="L511">
        <v>499</v>
      </c>
      <c r="M511">
        <v>0</v>
      </c>
      <c r="N511">
        <v>1.8927096157204701E-3</v>
      </c>
    </row>
    <row r="512" spans="12:14" x14ac:dyDescent="0.3">
      <c r="L512">
        <v>500</v>
      </c>
      <c r="M512">
        <v>0</v>
      </c>
      <c r="N512">
        <v>0.26311096915310811</v>
      </c>
    </row>
    <row r="513" spans="12:14" x14ac:dyDescent="0.3">
      <c r="L513">
        <v>501</v>
      </c>
      <c r="M513">
        <v>1</v>
      </c>
      <c r="N513">
        <v>0.70036867547965531</v>
      </c>
    </row>
    <row r="514" spans="12:14" x14ac:dyDescent="0.3">
      <c r="L514">
        <v>502</v>
      </c>
      <c r="M514">
        <v>0</v>
      </c>
      <c r="N514">
        <v>0.99947067647861654</v>
      </c>
    </row>
    <row r="515" spans="12:14" x14ac:dyDescent="0.3">
      <c r="L515">
        <v>503</v>
      </c>
      <c r="M515">
        <v>0</v>
      </c>
      <c r="N515">
        <v>0.91014455377486536</v>
      </c>
    </row>
    <row r="516" spans="12:14" x14ac:dyDescent="0.3">
      <c r="L516">
        <v>504</v>
      </c>
      <c r="M516">
        <v>0</v>
      </c>
      <c r="N516">
        <v>0.30389767179455218</v>
      </c>
    </row>
    <row r="517" spans="12:14" x14ac:dyDescent="0.3">
      <c r="L517">
        <v>505</v>
      </c>
      <c r="M517">
        <v>0</v>
      </c>
      <c r="N517">
        <v>0.17539857837568995</v>
      </c>
    </row>
    <row r="518" spans="12:14" x14ac:dyDescent="0.3">
      <c r="L518">
        <v>506</v>
      </c>
      <c r="M518">
        <v>0</v>
      </c>
      <c r="N518">
        <v>9.6429270012605441E-4</v>
      </c>
    </row>
    <row r="519" spans="12:14" x14ac:dyDescent="0.3">
      <c r="L519">
        <v>507</v>
      </c>
      <c r="M519">
        <v>1</v>
      </c>
      <c r="N519">
        <v>5.4158451701931563E-3</v>
      </c>
    </row>
    <row r="520" spans="12:14" x14ac:dyDescent="0.3">
      <c r="L520">
        <v>508</v>
      </c>
      <c r="M520">
        <v>0</v>
      </c>
      <c r="N520">
        <v>0.24529069711607518</v>
      </c>
    </row>
    <row r="521" spans="12:14" x14ac:dyDescent="0.3">
      <c r="L521">
        <v>509</v>
      </c>
      <c r="M521">
        <v>0</v>
      </c>
      <c r="N521">
        <v>3.7189171624165622E-4</v>
      </c>
    </row>
    <row r="522" spans="12:14" x14ac:dyDescent="0.3">
      <c r="L522">
        <v>510</v>
      </c>
      <c r="M522">
        <v>0</v>
      </c>
      <c r="N522">
        <v>1.3208907598637181E-3</v>
      </c>
    </row>
    <row r="523" spans="12:14" x14ac:dyDescent="0.3">
      <c r="L523">
        <v>511</v>
      </c>
      <c r="M523">
        <v>0</v>
      </c>
      <c r="N523">
        <v>0.79435868423116318</v>
      </c>
    </row>
    <row r="524" spans="12:14" x14ac:dyDescent="0.3">
      <c r="L524">
        <v>512</v>
      </c>
      <c r="M524">
        <v>0</v>
      </c>
      <c r="N524">
        <v>0.79527150476126263</v>
      </c>
    </row>
    <row r="525" spans="12:14" x14ac:dyDescent="0.3">
      <c r="L525">
        <v>513</v>
      </c>
      <c r="M525">
        <v>1</v>
      </c>
      <c r="N525">
        <v>0.30045231295279601</v>
      </c>
    </row>
    <row r="526" spans="12:14" x14ac:dyDescent="0.3">
      <c r="L526">
        <v>514</v>
      </c>
      <c r="M526">
        <v>0</v>
      </c>
      <c r="N526">
        <v>8.5367594964806909E-4</v>
      </c>
    </row>
    <row r="527" spans="12:14" x14ac:dyDescent="0.3">
      <c r="L527">
        <v>515</v>
      </c>
      <c r="M527">
        <v>0</v>
      </c>
      <c r="N527">
        <v>0.85452199410045304</v>
      </c>
    </row>
    <row r="528" spans="12:14" x14ac:dyDescent="0.3">
      <c r="L528">
        <v>516</v>
      </c>
      <c r="M528">
        <v>0</v>
      </c>
      <c r="N528">
        <v>3.9811101627263035E-2</v>
      </c>
    </row>
    <row r="529" spans="12:14" x14ac:dyDescent="0.3">
      <c r="L529">
        <v>517</v>
      </c>
      <c r="M529">
        <v>0</v>
      </c>
      <c r="N529">
        <v>0.37955256774742163</v>
      </c>
    </row>
    <row r="530" spans="12:14" x14ac:dyDescent="0.3">
      <c r="L530">
        <v>518</v>
      </c>
      <c r="M530">
        <v>0</v>
      </c>
      <c r="N530">
        <v>3.6259534807853993E-6</v>
      </c>
    </row>
    <row r="531" spans="12:14" x14ac:dyDescent="0.3">
      <c r="L531">
        <v>519</v>
      </c>
      <c r="M531">
        <v>0</v>
      </c>
      <c r="N531">
        <v>8.1423246961893053E-3</v>
      </c>
    </row>
    <row r="532" spans="12:14" x14ac:dyDescent="0.3">
      <c r="L532">
        <v>520</v>
      </c>
      <c r="M532">
        <v>0</v>
      </c>
      <c r="N532">
        <v>1.9934917017804723E-3</v>
      </c>
    </row>
    <row r="533" spans="12:14" x14ac:dyDescent="0.3">
      <c r="L533">
        <v>521</v>
      </c>
      <c r="M533">
        <v>0</v>
      </c>
      <c r="N533">
        <v>2.5536671776815473E-3</v>
      </c>
    </row>
    <row r="534" spans="12:14" x14ac:dyDescent="0.3">
      <c r="L534">
        <v>522</v>
      </c>
      <c r="M534">
        <v>0</v>
      </c>
      <c r="N534">
        <v>5.7515871207130448E-2</v>
      </c>
    </row>
    <row r="535" spans="12:14" x14ac:dyDescent="0.3">
      <c r="L535">
        <v>523</v>
      </c>
      <c r="M535">
        <v>1</v>
      </c>
      <c r="N535">
        <v>6.3079294662339526E-4</v>
      </c>
    </row>
    <row r="536" spans="12:14" x14ac:dyDescent="0.3">
      <c r="L536">
        <v>524</v>
      </c>
      <c r="M536">
        <v>0</v>
      </c>
      <c r="N536">
        <v>3.5922229883300634E-2</v>
      </c>
    </row>
    <row r="537" spans="12:14" x14ac:dyDescent="0.3">
      <c r="L537">
        <v>525</v>
      </c>
      <c r="M537">
        <v>0</v>
      </c>
      <c r="N537">
        <v>5.6984242240737649E-2</v>
      </c>
    </row>
    <row r="538" spans="12:14" x14ac:dyDescent="0.3">
      <c r="L538">
        <v>526</v>
      </c>
      <c r="M538">
        <v>0</v>
      </c>
      <c r="N538">
        <v>5.1419544237007293E-2</v>
      </c>
    </row>
    <row r="539" spans="12:14" x14ac:dyDescent="0.3">
      <c r="L539">
        <v>527</v>
      </c>
      <c r="M539">
        <v>0</v>
      </c>
      <c r="N539">
        <v>6.6548554408474681E-6</v>
      </c>
    </row>
    <row r="540" spans="12:14" x14ac:dyDescent="0.3">
      <c r="L540">
        <v>528</v>
      </c>
      <c r="M540">
        <v>0</v>
      </c>
      <c r="N540">
        <v>0.17683358100798008</v>
      </c>
    </row>
    <row r="541" spans="12:14" x14ac:dyDescent="0.3">
      <c r="L541">
        <v>529</v>
      </c>
      <c r="M541">
        <v>0</v>
      </c>
      <c r="N541">
        <v>1.694091445562648E-4</v>
      </c>
    </row>
    <row r="542" spans="12:14" x14ac:dyDescent="0.3">
      <c r="L542">
        <v>530</v>
      </c>
      <c r="M542">
        <v>0</v>
      </c>
      <c r="N542">
        <v>2.8495592721130272E-3</v>
      </c>
    </row>
    <row r="543" spans="12:14" x14ac:dyDescent="0.3">
      <c r="L543">
        <v>531</v>
      </c>
      <c r="M543">
        <v>0</v>
      </c>
      <c r="N543">
        <v>1.371781834979148E-2</v>
      </c>
    </row>
    <row r="544" spans="12:14" x14ac:dyDescent="0.3">
      <c r="L544">
        <v>532</v>
      </c>
      <c r="M544">
        <v>0</v>
      </c>
      <c r="N544">
        <v>1.9363389001003689E-3</v>
      </c>
    </row>
    <row r="545" spans="12:14" x14ac:dyDescent="0.3">
      <c r="L545">
        <v>533</v>
      </c>
      <c r="M545">
        <v>0</v>
      </c>
      <c r="N545">
        <v>8.5246498223871739E-6</v>
      </c>
    </row>
    <row r="546" spans="12:14" x14ac:dyDescent="0.3">
      <c r="L546">
        <v>534</v>
      </c>
      <c r="M546">
        <v>1</v>
      </c>
      <c r="N546">
        <v>1.0536360199768167E-2</v>
      </c>
    </row>
    <row r="547" spans="12:14" x14ac:dyDescent="0.3">
      <c r="L547">
        <v>535</v>
      </c>
      <c r="M547">
        <v>0</v>
      </c>
      <c r="N547">
        <v>8.7371013656635087E-3</v>
      </c>
    </row>
    <row r="548" spans="12:14" x14ac:dyDescent="0.3">
      <c r="L548">
        <v>536</v>
      </c>
      <c r="M548">
        <v>0</v>
      </c>
      <c r="N548">
        <v>1.5072080578156599E-2</v>
      </c>
    </row>
    <row r="549" spans="12:14" x14ac:dyDescent="0.3">
      <c r="L549">
        <v>537</v>
      </c>
      <c r="M549">
        <v>0</v>
      </c>
      <c r="N549">
        <v>4.8807977131204664E-3</v>
      </c>
    </row>
    <row r="550" spans="12:14" x14ac:dyDescent="0.3">
      <c r="L550">
        <v>538</v>
      </c>
      <c r="M550">
        <v>0</v>
      </c>
      <c r="N550">
        <v>4.5612461460206692E-2</v>
      </c>
    </row>
    <row r="551" spans="12:14" x14ac:dyDescent="0.3">
      <c r="L551">
        <v>539</v>
      </c>
      <c r="M551">
        <v>0</v>
      </c>
      <c r="N551">
        <v>7.6616830034857957E-3</v>
      </c>
    </row>
    <row r="552" spans="12:14" x14ac:dyDescent="0.3">
      <c r="L552">
        <v>540</v>
      </c>
      <c r="M552">
        <v>0</v>
      </c>
      <c r="N552">
        <v>5.5124272301650492E-4</v>
      </c>
    </row>
    <row r="553" spans="12:14" x14ac:dyDescent="0.3">
      <c r="L553">
        <v>541</v>
      </c>
      <c r="M553">
        <v>0</v>
      </c>
      <c r="N553">
        <v>0.52932847800832128</v>
      </c>
    </row>
    <row r="554" spans="12:14" x14ac:dyDescent="0.3">
      <c r="L554">
        <v>542</v>
      </c>
      <c r="M554">
        <v>0</v>
      </c>
      <c r="N554">
        <v>4.137643598940749E-2</v>
      </c>
    </row>
    <row r="555" spans="12:14" x14ac:dyDescent="0.3">
      <c r="L555">
        <v>543</v>
      </c>
      <c r="M555">
        <v>1</v>
      </c>
      <c r="N555">
        <v>3.1141571899128513E-4</v>
      </c>
    </row>
    <row r="556" spans="12:14" x14ac:dyDescent="0.3">
      <c r="L556">
        <v>544</v>
      </c>
      <c r="M556">
        <v>0</v>
      </c>
      <c r="N556">
        <v>1.3309796320978362E-3</v>
      </c>
    </row>
    <row r="557" spans="12:14" x14ac:dyDescent="0.3">
      <c r="L557">
        <v>545</v>
      </c>
      <c r="M557">
        <v>0</v>
      </c>
      <c r="N557">
        <v>0.76311726694745208</v>
      </c>
    </row>
    <row r="558" spans="12:14" x14ac:dyDescent="0.3">
      <c r="L558">
        <v>546</v>
      </c>
      <c r="M558">
        <v>0</v>
      </c>
      <c r="N558">
        <v>0.8652353291692757</v>
      </c>
    </row>
    <row r="559" spans="12:14" x14ac:dyDescent="0.3">
      <c r="L559">
        <v>547</v>
      </c>
      <c r="M559">
        <v>0</v>
      </c>
      <c r="N559">
        <v>8.0304806544524276E-3</v>
      </c>
    </row>
    <row r="560" spans="12:14" x14ac:dyDescent="0.3">
      <c r="L560">
        <v>548</v>
      </c>
      <c r="M560">
        <v>0</v>
      </c>
      <c r="N560">
        <v>1.1931996912937547E-2</v>
      </c>
    </row>
    <row r="561" spans="12:14" x14ac:dyDescent="0.3">
      <c r="L561">
        <v>549</v>
      </c>
      <c r="M561">
        <v>0</v>
      </c>
      <c r="N561">
        <v>7.688117336724401E-2</v>
      </c>
    </row>
    <row r="562" spans="12:14" x14ac:dyDescent="0.3">
      <c r="L562">
        <v>550</v>
      </c>
      <c r="M562">
        <v>0</v>
      </c>
      <c r="N562">
        <v>3.9672514957628975E-3</v>
      </c>
    </row>
    <row r="563" spans="12:14" x14ac:dyDescent="0.3">
      <c r="L563">
        <v>551</v>
      </c>
      <c r="M563">
        <v>0</v>
      </c>
      <c r="N563">
        <v>0.20656411603024949</v>
      </c>
    </row>
    <row r="564" spans="12:14" x14ac:dyDescent="0.3">
      <c r="L564">
        <v>552</v>
      </c>
      <c r="M564">
        <v>0</v>
      </c>
      <c r="N564">
        <v>1.0489284612388262E-5</v>
      </c>
    </row>
    <row r="565" spans="12:14" x14ac:dyDescent="0.3">
      <c r="L565">
        <v>553</v>
      </c>
      <c r="M565">
        <v>0</v>
      </c>
      <c r="N565">
        <v>8.1386778956003061E-3</v>
      </c>
    </row>
    <row r="566" spans="12:14" x14ac:dyDescent="0.3">
      <c r="L566">
        <v>554</v>
      </c>
      <c r="M566">
        <v>0</v>
      </c>
      <c r="N566">
        <v>1.7723575123579648E-2</v>
      </c>
    </row>
    <row r="567" spans="12:14" x14ac:dyDescent="0.3">
      <c r="L567">
        <v>555</v>
      </c>
      <c r="M567">
        <v>0</v>
      </c>
      <c r="N567">
        <v>1.0762991350249784E-3</v>
      </c>
    </row>
    <row r="568" spans="12:14" x14ac:dyDescent="0.3">
      <c r="L568">
        <v>556</v>
      </c>
      <c r="M568">
        <v>0</v>
      </c>
      <c r="N568">
        <v>0.83093539376407366</v>
      </c>
    </row>
    <row r="569" spans="12:14" x14ac:dyDescent="0.3">
      <c r="L569">
        <v>557</v>
      </c>
      <c r="M569">
        <v>0</v>
      </c>
      <c r="N569">
        <v>2.1878800176066194E-3</v>
      </c>
    </row>
    <row r="570" spans="12:14" x14ac:dyDescent="0.3">
      <c r="L570">
        <v>558</v>
      </c>
      <c r="M570">
        <v>0</v>
      </c>
      <c r="N570">
        <v>0.43141620190975893</v>
      </c>
    </row>
    <row r="571" spans="12:14" x14ac:dyDescent="0.3">
      <c r="L571">
        <v>559</v>
      </c>
      <c r="M571">
        <v>1</v>
      </c>
      <c r="N571">
        <v>0.11765026520495173</v>
      </c>
    </row>
    <row r="572" spans="12:14" x14ac:dyDescent="0.3">
      <c r="L572">
        <v>560</v>
      </c>
      <c r="M572">
        <v>0</v>
      </c>
      <c r="N572">
        <v>1.7332602397666295E-2</v>
      </c>
    </row>
    <row r="573" spans="12:14" x14ac:dyDescent="0.3">
      <c r="L573">
        <v>561</v>
      </c>
      <c r="M573">
        <v>0</v>
      </c>
      <c r="N573">
        <v>1.6951603663198228E-3</v>
      </c>
    </row>
    <row r="574" spans="12:14" x14ac:dyDescent="0.3">
      <c r="L574">
        <v>562</v>
      </c>
      <c r="M574">
        <v>1</v>
      </c>
      <c r="N574">
        <v>3.0907327296483347E-2</v>
      </c>
    </row>
    <row r="575" spans="12:14" x14ac:dyDescent="0.3">
      <c r="L575">
        <v>563</v>
      </c>
      <c r="M575">
        <v>1</v>
      </c>
      <c r="N575">
        <v>1.6257731253183492E-2</v>
      </c>
    </row>
    <row r="576" spans="12:14" x14ac:dyDescent="0.3">
      <c r="L576">
        <v>564</v>
      </c>
      <c r="M576">
        <v>1</v>
      </c>
      <c r="N576">
        <v>0.13018231132039684</v>
      </c>
    </row>
    <row r="577" spans="12:14" x14ac:dyDescent="0.3">
      <c r="L577">
        <v>565</v>
      </c>
      <c r="M577">
        <v>1</v>
      </c>
      <c r="N577">
        <v>3.8472167105838213E-4</v>
      </c>
    </row>
    <row r="578" spans="12:14" x14ac:dyDescent="0.3">
      <c r="L578">
        <v>566</v>
      </c>
      <c r="M578">
        <v>0</v>
      </c>
      <c r="N578">
        <v>3.1465197903671787E-5</v>
      </c>
    </row>
    <row r="579" spans="12:14" x14ac:dyDescent="0.3">
      <c r="L579">
        <v>567</v>
      </c>
      <c r="M579">
        <v>0</v>
      </c>
      <c r="N579">
        <v>9.0263058477665178E-2</v>
      </c>
    </row>
    <row r="580" spans="12:14" x14ac:dyDescent="0.3">
      <c r="L580">
        <v>568</v>
      </c>
      <c r="M580">
        <v>0</v>
      </c>
      <c r="N580">
        <v>0.19569798669776298</v>
      </c>
    </row>
    <row r="581" spans="12:14" x14ac:dyDescent="0.3">
      <c r="L581">
        <v>569</v>
      </c>
      <c r="M581">
        <v>0</v>
      </c>
      <c r="N581">
        <v>1.9407273678235471E-4</v>
      </c>
    </row>
    <row r="582" spans="12:14" x14ac:dyDescent="0.3">
      <c r="L582">
        <v>570</v>
      </c>
      <c r="M582">
        <v>0</v>
      </c>
      <c r="N582">
        <v>0.50561564075831689</v>
      </c>
    </row>
    <row r="583" spans="12:14" x14ac:dyDescent="0.3">
      <c r="L583">
        <v>571</v>
      </c>
      <c r="M583">
        <v>0</v>
      </c>
      <c r="N583">
        <v>9.1265914120618515E-3</v>
      </c>
    </row>
    <row r="584" spans="12:14" x14ac:dyDescent="0.3">
      <c r="L584">
        <v>572</v>
      </c>
      <c r="M584">
        <v>0</v>
      </c>
      <c r="N584">
        <v>0.66742785702621299</v>
      </c>
    </row>
    <row r="585" spans="12:14" x14ac:dyDescent="0.3">
      <c r="L585">
        <v>573</v>
      </c>
      <c r="M585">
        <v>0</v>
      </c>
      <c r="N585">
        <v>4.2200031066596638E-4</v>
      </c>
    </row>
    <row r="586" spans="12:14" x14ac:dyDescent="0.3">
      <c r="L586">
        <v>574</v>
      </c>
      <c r="M586">
        <v>0</v>
      </c>
      <c r="N586">
        <v>8.2223769852762824E-3</v>
      </c>
    </row>
    <row r="587" spans="12:14" x14ac:dyDescent="0.3">
      <c r="L587">
        <v>575</v>
      </c>
      <c r="M587">
        <v>0</v>
      </c>
      <c r="N587">
        <v>3.8626044815441019E-2</v>
      </c>
    </row>
    <row r="588" spans="12:14" x14ac:dyDescent="0.3">
      <c r="L588">
        <v>576</v>
      </c>
      <c r="M588">
        <v>0</v>
      </c>
      <c r="N588">
        <v>0.52518048868186717</v>
      </c>
    </row>
    <row r="589" spans="12:14" x14ac:dyDescent="0.3">
      <c r="L589">
        <v>577</v>
      </c>
      <c r="M589">
        <v>0</v>
      </c>
      <c r="N589">
        <v>1.0124915892717988E-2</v>
      </c>
    </row>
    <row r="590" spans="12:14" x14ac:dyDescent="0.3">
      <c r="L590">
        <v>578</v>
      </c>
      <c r="M590">
        <v>0</v>
      </c>
      <c r="N590">
        <v>4.1030591280999895E-2</v>
      </c>
    </row>
    <row r="591" spans="12:14" x14ac:dyDescent="0.3">
      <c r="L591">
        <v>579</v>
      </c>
      <c r="M591">
        <v>0</v>
      </c>
      <c r="N591">
        <v>0.1697472404294387</v>
      </c>
    </row>
    <row r="592" spans="12:14" x14ac:dyDescent="0.3">
      <c r="L592">
        <v>580</v>
      </c>
      <c r="M592">
        <v>0</v>
      </c>
      <c r="N592">
        <v>0.99475674563027472</v>
      </c>
    </row>
    <row r="593" spans="12:14" x14ac:dyDescent="0.3">
      <c r="L593">
        <v>581</v>
      </c>
      <c r="M593">
        <v>0</v>
      </c>
      <c r="N593">
        <v>0.18131315115190391</v>
      </c>
    </row>
    <row r="594" spans="12:14" x14ac:dyDescent="0.3">
      <c r="L594">
        <v>582</v>
      </c>
      <c r="M594">
        <v>0</v>
      </c>
      <c r="N594">
        <v>0.87087043294256117</v>
      </c>
    </row>
    <row r="595" spans="12:14" x14ac:dyDescent="0.3">
      <c r="L595">
        <v>583</v>
      </c>
      <c r="M595">
        <v>0</v>
      </c>
      <c r="N595">
        <v>2.0640184340905924E-2</v>
      </c>
    </row>
    <row r="596" spans="12:14" x14ac:dyDescent="0.3">
      <c r="L596">
        <v>584</v>
      </c>
      <c r="M596">
        <v>0</v>
      </c>
      <c r="N596">
        <v>7.7208849126597237E-3</v>
      </c>
    </row>
    <row r="597" spans="12:14" x14ac:dyDescent="0.3">
      <c r="L597">
        <v>585</v>
      </c>
      <c r="M597">
        <v>1</v>
      </c>
      <c r="N597">
        <v>4.2078603733659596E-3</v>
      </c>
    </row>
    <row r="598" spans="12:14" x14ac:dyDescent="0.3">
      <c r="L598">
        <v>586</v>
      </c>
      <c r="M598">
        <v>0</v>
      </c>
      <c r="N598">
        <v>0.87732049901258491</v>
      </c>
    </row>
    <row r="599" spans="12:14" x14ac:dyDescent="0.3">
      <c r="L599">
        <v>587</v>
      </c>
      <c r="M599">
        <v>0</v>
      </c>
      <c r="N599">
        <v>0.10463459414825436</v>
      </c>
    </row>
    <row r="600" spans="12:14" x14ac:dyDescent="0.3">
      <c r="L600">
        <v>588</v>
      </c>
      <c r="M600">
        <v>1</v>
      </c>
      <c r="N600">
        <v>0.18806226852062935</v>
      </c>
    </row>
    <row r="601" spans="12:14" x14ac:dyDescent="0.3">
      <c r="L601">
        <v>589</v>
      </c>
      <c r="M601">
        <v>0</v>
      </c>
      <c r="N601">
        <v>5.1439972767457535E-2</v>
      </c>
    </row>
    <row r="602" spans="12:14" x14ac:dyDescent="0.3">
      <c r="L602">
        <v>590</v>
      </c>
      <c r="M602">
        <v>0</v>
      </c>
      <c r="N602">
        <v>7.3887050475612863E-3</v>
      </c>
    </row>
    <row r="603" spans="12:14" x14ac:dyDescent="0.3">
      <c r="L603">
        <v>591</v>
      </c>
      <c r="M603">
        <v>0</v>
      </c>
      <c r="N603">
        <v>3.2353556475504974E-2</v>
      </c>
    </row>
    <row r="604" spans="12:14" x14ac:dyDescent="0.3">
      <c r="L604">
        <v>592</v>
      </c>
      <c r="M604">
        <v>0</v>
      </c>
      <c r="N604">
        <v>3.0980785678669102E-4</v>
      </c>
    </row>
    <row r="605" spans="12:14" x14ac:dyDescent="0.3">
      <c r="L605">
        <v>593</v>
      </c>
      <c r="M605">
        <v>0</v>
      </c>
      <c r="N605">
        <v>9.2627344642739497E-4</v>
      </c>
    </row>
    <row r="606" spans="12:14" x14ac:dyDescent="0.3">
      <c r="L606">
        <v>594</v>
      </c>
      <c r="M606">
        <v>0</v>
      </c>
      <c r="N606">
        <v>0.12439655710997011</v>
      </c>
    </row>
    <row r="607" spans="12:14" x14ac:dyDescent="0.3">
      <c r="L607">
        <v>595</v>
      </c>
      <c r="M607">
        <v>0</v>
      </c>
      <c r="N607">
        <v>1.3749223881771202E-4</v>
      </c>
    </row>
    <row r="608" spans="12:14" x14ac:dyDescent="0.3">
      <c r="L608">
        <v>596</v>
      </c>
      <c r="M608">
        <v>0</v>
      </c>
      <c r="N608">
        <v>9.0489240157091873E-3</v>
      </c>
    </row>
    <row r="609" spans="12:14" x14ac:dyDescent="0.3">
      <c r="L609">
        <v>597</v>
      </c>
      <c r="M609">
        <v>0</v>
      </c>
      <c r="N609">
        <v>1.1207456699856497E-3</v>
      </c>
    </row>
    <row r="610" spans="12:14" x14ac:dyDescent="0.3">
      <c r="L610">
        <v>598</v>
      </c>
      <c r="M610">
        <v>0</v>
      </c>
      <c r="N610">
        <v>2.676578148223558E-2</v>
      </c>
    </row>
    <row r="611" spans="12:14" x14ac:dyDescent="0.3">
      <c r="L611">
        <v>599</v>
      </c>
      <c r="M611">
        <v>0</v>
      </c>
      <c r="N611">
        <v>4.3863048268117273E-2</v>
      </c>
    </row>
    <row r="612" spans="12:14" x14ac:dyDescent="0.3">
      <c r="L612">
        <v>600</v>
      </c>
      <c r="M612">
        <v>0</v>
      </c>
      <c r="N612">
        <v>0.61618910272828042</v>
      </c>
    </row>
    <row r="613" spans="12:14" x14ac:dyDescent="0.3">
      <c r="L613">
        <v>601</v>
      </c>
      <c r="M613">
        <v>1</v>
      </c>
      <c r="N613">
        <v>2.5594508561414637E-3</v>
      </c>
    </row>
    <row r="614" spans="12:14" x14ac:dyDescent="0.3">
      <c r="L614">
        <v>602</v>
      </c>
      <c r="M614">
        <v>0</v>
      </c>
      <c r="N614">
        <v>2.1898400346456931E-2</v>
      </c>
    </row>
    <row r="615" spans="12:14" x14ac:dyDescent="0.3">
      <c r="L615">
        <v>603</v>
      </c>
      <c r="M615">
        <v>0</v>
      </c>
      <c r="N615">
        <v>0.35090883400064382</v>
      </c>
    </row>
    <row r="616" spans="12:14" x14ac:dyDescent="0.3">
      <c r="L616">
        <v>604</v>
      </c>
      <c r="M616">
        <v>1</v>
      </c>
      <c r="N616">
        <v>4.3906639743267577E-2</v>
      </c>
    </row>
    <row r="617" spans="12:14" x14ac:dyDescent="0.3">
      <c r="L617">
        <v>605</v>
      </c>
      <c r="M617">
        <v>1</v>
      </c>
      <c r="N617">
        <v>3.4848368702910947E-3</v>
      </c>
    </row>
    <row r="618" spans="12:14" x14ac:dyDescent="0.3">
      <c r="L618">
        <v>606</v>
      </c>
      <c r="M618">
        <v>0</v>
      </c>
      <c r="N618">
        <v>1.6440150196477449E-2</v>
      </c>
    </row>
    <row r="619" spans="12:14" x14ac:dyDescent="0.3">
      <c r="L619">
        <v>607</v>
      </c>
      <c r="M619">
        <v>1</v>
      </c>
      <c r="N619">
        <v>7.3908134884541029E-4</v>
      </c>
    </row>
    <row r="620" spans="12:14" x14ac:dyDescent="0.3">
      <c r="L620">
        <v>608</v>
      </c>
      <c r="M620">
        <v>0</v>
      </c>
      <c r="N620">
        <v>0.13722786571600129</v>
      </c>
    </row>
    <row r="621" spans="12:14" x14ac:dyDescent="0.3">
      <c r="L621">
        <v>609</v>
      </c>
      <c r="M621">
        <v>0</v>
      </c>
      <c r="N621">
        <v>0.69793417565723903</v>
      </c>
    </row>
    <row r="622" spans="12:14" x14ac:dyDescent="0.3">
      <c r="L622">
        <v>610</v>
      </c>
      <c r="M622">
        <v>0</v>
      </c>
      <c r="N622">
        <v>1.9689646462741137E-4</v>
      </c>
    </row>
    <row r="623" spans="12:14" x14ac:dyDescent="0.3">
      <c r="L623">
        <v>611</v>
      </c>
      <c r="M623">
        <v>0</v>
      </c>
      <c r="N623">
        <v>1.9221408529333732E-2</v>
      </c>
    </row>
    <row r="624" spans="12:14" x14ac:dyDescent="0.3">
      <c r="L624">
        <v>612</v>
      </c>
      <c r="M624">
        <v>0</v>
      </c>
      <c r="N624">
        <v>2.5203321460493576E-3</v>
      </c>
    </row>
    <row r="625" spans="12:14" x14ac:dyDescent="0.3">
      <c r="L625">
        <v>613</v>
      </c>
      <c r="M625">
        <v>1</v>
      </c>
      <c r="N625">
        <v>0.78623474823395512</v>
      </c>
    </row>
    <row r="626" spans="12:14" x14ac:dyDescent="0.3">
      <c r="L626">
        <v>614</v>
      </c>
      <c r="M626">
        <v>0</v>
      </c>
      <c r="N626">
        <v>0.14649499925886564</v>
      </c>
    </row>
    <row r="627" spans="12:14" x14ac:dyDescent="0.3">
      <c r="L627">
        <v>615</v>
      </c>
      <c r="M627">
        <v>0</v>
      </c>
      <c r="N627">
        <v>3.6911808299952584E-3</v>
      </c>
    </row>
    <row r="628" spans="12:14" x14ac:dyDescent="0.3">
      <c r="L628">
        <v>616</v>
      </c>
      <c r="M628">
        <v>1</v>
      </c>
      <c r="N628">
        <v>7.9945949641874361E-2</v>
      </c>
    </row>
    <row r="629" spans="12:14" x14ac:dyDescent="0.3">
      <c r="L629">
        <v>617</v>
      </c>
      <c r="M629">
        <v>1</v>
      </c>
      <c r="N629">
        <v>0.13606515859627816</v>
      </c>
    </row>
    <row r="630" spans="12:14" x14ac:dyDescent="0.3">
      <c r="L630">
        <v>618</v>
      </c>
      <c r="M630">
        <v>0</v>
      </c>
      <c r="N630">
        <v>0.48948702900596919</v>
      </c>
    </row>
    <row r="631" spans="12:14" x14ac:dyDescent="0.3">
      <c r="L631">
        <v>619</v>
      </c>
      <c r="M631">
        <v>0</v>
      </c>
      <c r="N631">
        <v>4.8493042937537131E-2</v>
      </c>
    </row>
    <row r="632" spans="12:14" x14ac:dyDescent="0.3">
      <c r="L632">
        <v>620</v>
      </c>
      <c r="M632">
        <v>0</v>
      </c>
      <c r="N632">
        <v>3.0422616298534152E-3</v>
      </c>
    </row>
    <row r="633" spans="12:14" x14ac:dyDescent="0.3">
      <c r="L633">
        <v>621</v>
      </c>
      <c r="M633">
        <v>0</v>
      </c>
      <c r="N633">
        <v>0.38392624716866569</v>
      </c>
    </row>
    <row r="634" spans="12:14" x14ac:dyDescent="0.3">
      <c r="L634">
        <v>622</v>
      </c>
      <c r="M634">
        <v>0</v>
      </c>
      <c r="N634">
        <v>3.8848786402199E-2</v>
      </c>
    </row>
    <row r="635" spans="12:14" x14ac:dyDescent="0.3">
      <c r="L635">
        <v>623</v>
      </c>
      <c r="M635">
        <v>0</v>
      </c>
      <c r="N635">
        <v>0.21394881547385092</v>
      </c>
    </row>
    <row r="636" spans="12:14" x14ac:dyDescent="0.3">
      <c r="L636">
        <v>624</v>
      </c>
      <c r="M636">
        <v>0</v>
      </c>
      <c r="N636">
        <v>0.93564910826328396</v>
      </c>
    </row>
    <row r="637" spans="12:14" x14ac:dyDescent="0.3">
      <c r="L637">
        <v>625</v>
      </c>
      <c r="M637">
        <v>0</v>
      </c>
      <c r="N637">
        <v>9.1377401770374837E-3</v>
      </c>
    </row>
    <row r="638" spans="12:14" x14ac:dyDescent="0.3">
      <c r="L638">
        <v>626</v>
      </c>
      <c r="M638">
        <v>0</v>
      </c>
      <c r="N638">
        <v>2.5339024094531162E-6</v>
      </c>
    </row>
    <row r="639" spans="12:14" x14ac:dyDescent="0.3">
      <c r="L639">
        <v>627</v>
      </c>
      <c r="M639">
        <v>0</v>
      </c>
      <c r="N639">
        <v>1.8010400612533461E-2</v>
      </c>
    </row>
    <row r="640" spans="12:14" x14ac:dyDescent="0.3">
      <c r="L640">
        <v>628</v>
      </c>
      <c r="M640">
        <v>0</v>
      </c>
      <c r="N640">
        <v>0.24984975678197702</v>
      </c>
    </row>
    <row r="641" spans="12:14" x14ac:dyDescent="0.3">
      <c r="L641">
        <v>629</v>
      </c>
      <c r="M641">
        <v>0</v>
      </c>
      <c r="N641">
        <v>1.021052718025535E-4</v>
      </c>
    </row>
    <row r="642" spans="12:14" x14ac:dyDescent="0.3">
      <c r="L642">
        <v>630</v>
      </c>
      <c r="M642">
        <v>0</v>
      </c>
      <c r="N642">
        <v>0.42528565741447433</v>
      </c>
    </row>
    <row r="643" spans="12:14" x14ac:dyDescent="0.3">
      <c r="L643">
        <v>631</v>
      </c>
      <c r="M643">
        <v>0</v>
      </c>
      <c r="N643">
        <v>5.376531424908889E-4</v>
      </c>
    </row>
    <row r="644" spans="12:14" x14ac:dyDescent="0.3">
      <c r="L644">
        <v>632</v>
      </c>
      <c r="M644">
        <v>0</v>
      </c>
      <c r="N644">
        <v>0.24931491962226776</v>
      </c>
    </row>
    <row r="645" spans="12:14" x14ac:dyDescent="0.3">
      <c r="L645">
        <v>633</v>
      </c>
      <c r="M645">
        <v>0</v>
      </c>
      <c r="N645">
        <v>1.7864519725883175E-2</v>
      </c>
    </row>
    <row r="646" spans="12:14" x14ac:dyDescent="0.3">
      <c r="L646">
        <v>634</v>
      </c>
      <c r="M646">
        <v>0</v>
      </c>
      <c r="N646">
        <v>0.15624762851079216</v>
      </c>
    </row>
    <row r="647" spans="12:14" x14ac:dyDescent="0.3">
      <c r="L647">
        <v>635</v>
      </c>
      <c r="M647">
        <v>0</v>
      </c>
      <c r="N647">
        <v>0.44884151136212858</v>
      </c>
    </row>
    <row r="648" spans="12:14" x14ac:dyDescent="0.3">
      <c r="L648">
        <v>636</v>
      </c>
      <c r="M648">
        <v>0</v>
      </c>
      <c r="N648">
        <v>0.53940070791231287</v>
      </c>
    </row>
    <row r="649" spans="12:14" x14ac:dyDescent="0.3">
      <c r="L649">
        <v>637</v>
      </c>
      <c r="M649">
        <v>0</v>
      </c>
      <c r="N649">
        <v>1.6455991282551968E-2</v>
      </c>
    </row>
    <row r="650" spans="12:14" x14ac:dyDescent="0.3">
      <c r="L650">
        <v>638</v>
      </c>
      <c r="M650">
        <v>1</v>
      </c>
      <c r="N650">
        <v>5.0129740339765957E-3</v>
      </c>
    </row>
    <row r="651" spans="12:14" x14ac:dyDescent="0.3">
      <c r="L651">
        <v>639</v>
      </c>
      <c r="M651">
        <v>1</v>
      </c>
      <c r="N651">
        <v>0.62476070843699638</v>
      </c>
    </row>
    <row r="652" spans="12:14" x14ac:dyDescent="0.3">
      <c r="L652">
        <v>640</v>
      </c>
      <c r="M652">
        <v>1</v>
      </c>
      <c r="N652">
        <v>4.2415657932226994E-3</v>
      </c>
    </row>
    <row r="653" spans="12:14" x14ac:dyDescent="0.3">
      <c r="L653">
        <v>641</v>
      </c>
      <c r="M653">
        <v>0</v>
      </c>
      <c r="N653">
        <v>1.0316718981162909E-2</v>
      </c>
    </row>
    <row r="654" spans="12:14" x14ac:dyDescent="0.3">
      <c r="L654">
        <v>642</v>
      </c>
      <c r="M654">
        <v>1</v>
      </c>
      <c r="N654">
        <v>8.9399899849856111E-3</v>
      </c>
    </row>
    <row r="655" spans="12:14" x14ac:dyDescent="0.3">
      <c r="L655">
        <v>643</v>
      </c>
      <c r="M655">
        <v>0</v>
      </c>
      <c r="N655">
        <v>3.587075930326292E-3</v>
      </c>
    </row>
    <row r="656" spans="12:14" x14ac:dyDescent="0.3">
      <c r="L656">
        <v>644</v>
      </c>
      <c r="M656">
        <v>0</v>
      </c>
      <c r="N656">
        <v>5.0534579392227518E-4</v>
      </c>
    </row>
    <row r="657" spans="12:14" x14ac:dyDescent="0.3">
      <c r="L657">
        <v>645</v>
      </c>
      <c r="M657">
        <v>0</v>
      </c>
      <c r="N657">
        <v>0.32887210630684666</v>
      </c>
    </row>
    <row r="658" spans="12:14" x14ac:dyDescent="0.3">
      <c r="L658">
        <v>646</v>
      </c>
      <c r="M658">
        <v>0</v>
      </c>
      <c r="N658">
        <v>8.3315147965225972E-4</v>
      </c>
    </row>
    <row r="659" spans="12:14" x14ac:dyDescent="0.3">
      <c r="L659">
        <v>647</v>
      </c>
      <c r="M659">
        <v>0</v>
      </c>
      <c r="N659">
        <v>2.1211009521548718E-3</v>
      </c>
    </row>
    <row r="660" spans="12:14" x14ac:dyDescent="0.3">
      <c r="L660">
        <v>648</v>
      </c>
      <c r="M660">
        <v>0</v>
      </c>
      <c r="N660">
        <v>1.7226210323763563E-3</v>
      </c>
    </row>
    <row r="661" spans="12:14" x14ac:dyDescent="0.3">
      <c r="L661">
        <v>649</v>
      </c>
      <c r="M661">
        <v>0</v>
      </c>
      <c r="N661">
        <v>7.2022426205748127E-2</v>
      </c>
    </row>
    <row r="662" spans="12:14" x14ac:dyDescent="0.3">
      <c r="L662">
        <v>650</v>
      </c>
      <c r="M662">
        <v>0</v>
      </c>
      <c r="N662">
        <v>1.724680865555299E-3</v>
      </c>
    </row>
    <row r="663" spans="12:14" x14ac:dyDescent="0.3">
      <c r="L663">
        <v>651</v>
      </c>
      <c r="M663">
        <v>1</v>
      </c>
      <c r="N663">
        <v>1.4850298702436299E-3</v>
      </c>
    </row>
    <row r="664" spans="12:14" x14ac:dyDescent="0.3">
      <c r="L664">
        <v>652</v>
      </c>
      <c r="M664">
        <v>0</v>
      </c>
      <c r="N664">
        <v>0.25266877778194818</v>
      </c>
    </row>
    <row r="665" spans="12:14" x14ac:dyDescent="0.3">
      <c r="L665">
        <v>653</v>
      </c>
      <c r="M665">
        <v>0</v>
      </c>
      <c r="N665">
        <v>4.756963592947667E-3</v>
      </c>
    </row>
    <row r="666" spans="12:14" x14ac:dyDescent="0.3">
      <c r="L666">
        <v>654</v>
      </c>
      <c r="M666">
        <v>0</v>
      </c>
      <c r="N666">
        <v>5.0712616754506182E-5</v>
      </c>
    </row>
    <row r="667" spans="12:14" x14ac:dyDescent="0.3">
      <c r="L667">
        <v>655</v>
      </c>
      <c r="M667">
        <v>0</v>
      </c>
      <c r="N667">
        <v>3.4454895256780041E-2</v>
      </c>
    </row>
    <row r="668" spans="12:14" x14ac:dyDescent="0.3">
      <c r="L668">
        <v>656</v>
      </c>
      <c r="M668">
        <v>1</v>
      </c>
      <c r="N668">
        <v>5.5508397049489034E-4</v>
      </c>
    </row>
    <row r="669" spans="12:14" x14ac:dyDescent="0.3">
      <c r="L669">
        <v>657</v>
      </c>
      <c r="M669">
        <v>0</v>
      </c>
      <c r="N669">
        <v>0.83988711806557492</v>
      </c>
    </row>
    <row r="670" spans="12:14" x14ac:dyDescent="0.3">
      <c r="L670">
        <v>658</v>
      </c>
      <c r="M670">
        <v>0</v>
      </c>
      <c r="N670">
        <v>1.5432902202514946E-2</v>
      </c>
    </row>
    <row r="671" spans="12:14" x14ac:dyDescent="0.3">
      <c r="L671">
        <v>659</v>
      </c>
      <c r="M671">
        <v>0</v>
      </c>
      <c r="N671">
        <v>0.12460415913058619</v>
      </c>
    </row>
    <row r="672" spans="12:14" x14ac:dyDescent="0.3">
      <c r="L672">
        <v>660</v>
      </c>
      <c r="M672">
        <v>0</v>
      </c>
      <c r="N672">
        <v>4.41801239176495E-2</v>
      </c>
    </row>
    <row r="673" spans="12:14" x14ac:dyDescent="0.3">
      <c r="L673">
        <v>661</v>
      </c>
      <c r="M673">
        <v>0</v>
      </c>
      <c r="N673">
        <v>1.0355027855882527E-2</v>
      </c>
    </row>
    <row r="674" spans="12:14" x14ac:dyDescent="0.3">
      <c r="L674">
        <v>662</v>
      </c>
      <c r="M674">
        <v>1</v>
      </c>
      <c r="N674">
        <v>6.8494052646983203E-2</v>
      </c>
    </row>
    <row r="675" spans="12:14" x14ac:dyDescent="0.3">
      <c r="L675">
        <v>663</v>
      </c>
      <c r="M675">
        <v>0</v>
      </c>
      <c r="N675">
        <v>3.1578987857702238E-3</v>
      </c>
    </row>
    <row r="676" spans="12:14" x14ac:dyDescent="0.3">
      <c r="L676">
        <v>664</v>
      </c>
      <c r="M676">
        <v>0</v>
      </c>
      <c r="N676">
        <v>8.4194960499386407E-4</v>
      </c>
    </row>
    <row r="677" spans="12:14" x14ac:dyDescent="0.3">
      <c r="L677">
        <v>665</v>
      </c>
      <c r="M677">
        <v>0</v>
      </c>
      <c r="N677">
        <v>7.2205040305785027E-5</v>
      </c>
    </row>
    <row r="678" spans="12:14" x14ac:dyDescent="0.3">
      <c r="L678">
        <v>666</v>
      </c>
      <c r="M678">
        <v>0</v>
      </c>
      <c r="N678">
        <v>6.5159557371519692E-3</v>
      </c>
    </row>
    <row r="679" spans="12:14" x14ac:dyDescent="0.3">
      <c r="L679">
        <v>667</v>
      </c>
      <c r="M679">
        <v>0</v>
      </c>
      <c r="N679">
        <v>0.14457949998283337</v>
      </c>
    </row>
    <row r="680" spans="12:14" x14ac:dyDescent="0.3">
      <c r="L680">
        <v>668</v>
      </c>
      <c r="M680">
        <v>0</v>
      </c>
      <c r="N680">
        <v>4.896448143246356E-3</v>
      </c>
    </row>
    <row r="681" spans="12:14" x14ac:dyDescent="0.3">
      <c r="L681">
        <v>669</v>
      </c>
      <c r="M681">
        <v>0</v>
      </c>
      <c r="N681">
        <v>2.7887964888389984E-2</v>
      </c>
    </row>
    <row r="682" spans="12:14" x14ac:dyDescent="0.3">
      <c r="L682">
        <v>670</v>
      </c>
      <c r="M682">
        <v>1</v>
      </c>
      <c r="N682">
        <v>1.902425204722857E-2</v>
      </c>
    </row>
    <row r="683" spans="12:14" x14ac:dyDescent="0.3">
      <c r="L683">
        <v>671</v>
      </c>
      <c r="M683">
        <v>0</v>
      </c>
      <c r="N683">
        <v>1.383627657154379E-2</v>
      </c>
    </row>
    <row r="684" spans="12:14" x14ac:dyDescent="0.3">
      <c r="L684">
        <v>672</v>
      </c>
      <c r="M684">
        <v>0</v>
      </c>
      <c r="N684">
        <v>3.4078095631874888E-2</v>
      </c>
    </row>
    <row r="685" spans="12:14" x14ac:dyDescent="0.3">
      <c r="L685">
        <v>673</v>
      </c>
      <c r="M685">
        <v>0</v>
      </c>
      <c r="N685">
        <v>8.5880387157447492E-4</v>
      </c>
    </row>
    <row r="686" spans="12:14" x14ac:dyDescent="0.3">
      <c r="L686">
        <v>674</v>
      </c>
      <c r="M686">
        <v>0</v>
      </c>
      <c r="N686">
        <v>7.1911016078141385E-3</v>
      </c>
    </row>
    <row r="687" spans="12:14" x14ac:dyDescent="0.3">
      <c r="L687">
        <v>675</v>
      </c>
      <c r="M687">
        <v>0</v>
      </c>
      <c r="N687">
        <v>5.8830008798430554E-3</v>
      </c>
    </row>
    <row r="688" spans="12:14" x14ac:dyDescent="0.3">
      <c r="L688">
        <v>676</v>
      </c>
      <c r="M688">
        <v>0</v>
      </c>
      <c r="N688">
        <v>0.33738774348580958</v>
      </c>
    </row>
    <row r="689" spans="12:14" x14ac:dyDescent="0.3">
      <c r="L689">
        <v>677</v>
      </c>
      <c r="M689">
        <v>0</v>
      </c>
      <c r="N689">
        <v>0.99999809039615017</v>
      </c>
    </row>
    <row r="690" spans="12:14" x14ac:dyDescent="0.3">
      <c r="L690">
        <v>678</v>
      </c>
      <c r="M690">
        <v>0</v>
      </c>
      <c r="N690">
        <v>2.7469876714636567E-4</v>
      </c>
    </row>
    <row r="691" spans="12:14" x14ac:dyDescent="0.3">
      <c r="L691">
        <v>679</v>
      </c>
      <c r="M691">
        <v>1</v>
      </c>
      <c r="N691">
        <v>2.7553551641849996E-2</v>
      </c>
    </row>
    <row r="692" spans="12:14" x14ac:dyDescent="0.3">
      <c r="L692">
        <v>680</v>
      </c>
      <c r="M692">
        <v>0</v>
      </c>
      <c r="N692">
        <v>0.30819879899824615</v>
      </c>
    </row>
    <row r="693" spans="12:14" x14ac:dyDescent="0.3">
      <c r="L693">
        <v>681</v>
      </c>
      <c r="M693">
        <v>1</v>
      </c>
      <c r="N693">
        <v>7.3797814447663221E-3</v>
      </c>
    </row>
    <row r="694" spans="12:14" x14ac:dyDescent="0.3">
      <c r="L694">
        <v>682</v>
      </c>
      <c r="M694">
        <v>0</v>
      </c>
      <c r="N694">
        <v>1.7573941496655616E-4</v>
      </c>
    </row>
    <row r="695" spans="12:14" x14ac:dyDescent="0.3">
      <c r="L695">
        <v>683</v>
      </c>
      <c r="M695">
        <v>0</v>
      </c>
      <c r="N695">
        <v>4.4361180556176813E-2</v>
      </c>
    </row>
    <row r="696" spans="12:14" x14ac:dyDescent="0.3">
      <c r="L696">
        <v>684</v>
      </c>
      <c r="M696">
        <v>1</v>
      </c>
      <c r="N696">
        <v>3.7331070947163564E-2</v>
      </c>
    </row>
    <row r="697" spans="12:14" x14ac:dyDescent="0.3">
      <c r="L697">
        <v>685</v>
      </c>
      <c r="M697">
        <v>0</v>
      </c>
      <c r="N697">
        <v>0.95390557144342047</v>
      </c>
    </row>
    <row r="698" spans="12:14" x14ac:dyDescent="0.3">
      <c r="L698">
        <v>686</v>
      </c>
      <c r="M698">
        <v>0</v>
      </c>
      <c r="N698">
        <v>7.3676172432067437E-3</v>
      </c>
    </row>
    <row r="699" spans="12:14" x14ac:dyDescent="0.3">
      <c r="L699">
        <v>687</v>
      </c>
      <c r="M699">
        <v>0</v>
      </c>
      <c r="N699">
        <v>1.766688284909942E-3</v>
      </c>
    </row>
    <row r="700" spans="12:14" x14ac:dyDescent="0.3">
      <c r="L700">
        <v>688</v>
      </c>
      <c r="M700">
        <v>0</v>
      </c>
      <c r="N700">
        <v>3.4326836452310172E-3</v>
      </c>
    </row>
    <row r="701" spans="12:14" x14ac:dyDescent="0.3">
      <c r="L701">
        <v>689</v>
      </c>
      <c r="M701">
        <v>0</v>
      </c>
      <c r="N701">
        <v>1.0068986100108732E-4</v>
      </c>
    </row>
    <row r="702" spans="12:14" x14ac:dyDescent="0.3">
      <c r="L702">
        <v>690</v>
      </c>
      <c r="M702">
        <v>0</v>
      </c>
      <c r="N702">
        <v>0.18078795395090619</v>
      </c>
    </row>
    <row r="703" spans="12:14" x14ac:dyDescent="0.3">
      <c r="L703">
        <v>691</v>
      </c>
      <c r="M703">
        <v>0</v>
      </c>
      <c r="N703">
        <v>5.4035390921867987E-4</v>
      </c>
    </row>
    <row r="704" spans="12:14" x14ac:dyDescent="0.3">
      <c r="L704">
        <v>692</v>
      </c>
      <c r="M704">
        <v>0</v>
      </c>
      <c r="N704">
        <v>0.99999999985107324</v>
      </c>
    </row>
    <row r="705" spans="12:14" x14ac:dyDescent="0.3">
      <c r="L705">
        <v>693</v>
      </c>
      <c r="M705">
        <v>0</v>
      </c>
      <c r="N705">
        <v>1.5179530502747313E-3</v>
      </c>
    </row>
    <row r="706" spans="12:14" x14ac:dyDescent="0.3">
      <c r="L706">
        <v>694</v>
      </c>
      <c r="M706">
        <v>0</v>
      </c>
      <c r="N706">
        <v>0.99904198812010192</v>
      </c>
    </row>
    <row r="707" spans="12:14" x14ac:dyDescent="0.3">
      <c r="L707">
        <v>695</v>
      </c>
      <c r="M707">
        <v>0</v>
      </c>
      <c r="N707">
        <v>0.26161266662459159</v>
      </c>
    </row>
    <row r="708" spans="12:14" x14ac:dyDescent="0.3">
      <c r="L708">
        <v>696</v>
      </c>
      <c r="M708">
        <v>0</v>
      </c>
      <c r="N708">
        <v>0.96798691022312067</v>
      </c>
    </row>
    <row r="709" spans="12:14" x14ac:dyDescent="0.3">
      <c r="L709">
        <v>697</v>
      </c>
      <c r="M709">
        <v>1</v>
      </c>
      <c r="N709">
        <v>1.3925698105620515E-3</v>
      </c>
    </row>
    <row r="710" spans="12:14" x14ac:dyDescent="0.3">
      <c r="L710">
        <v>698</v>
      </c>
      <c r="M710">
        <v>0</v>
      </c>
      <c r="N710">
        <v>2.1904790056941404E-4</v>
      </c>
    </row>
    <row r="711" spans="12:14" x14ac:dyDescent="0.3">
      <c r="L711">
        <v>699</v>
      </c>
      <c r="M711">
        <v>0</v>
      </c>
      <c r="N711">
        <v>0.53809024821032703</v>
      </c>
    </row>
    <row r="712" spans="12:14" x14ac:dyDescent="0.3">
      <c r="L712">
        <v>700</v>
      </c>
      <c r="M712">
        <v>0</v>
      </c>
      <c r="N712">
        <v>0.11579177784603197</v>
      </c>
    </row>
    <row r="713" spans="12:14" x14ac:dyDescent="0.3">
      <c r="L713">
        <v>701</v>
      </c>
      <c r="M713">
        <v>1</v>
      </c>
      <c r="N713">
        <v>0.34797831682003122</v>
      </c>
    </row>
    <row r="714" spans="12:14" x14ac:dyDescent="0.3">
      <c r="L714">
        <v>702</v>
      </c>
      <c r="M714">
        <v>0</v>
      </c>
      <c r="N714">
        <v>0.25265818254845929</v>
      </c>
    </row>
    <row r="715" spans="12:14" x14ac:dyDescent="0.3">
      <c r="L715">
        <v>703</v>
      </c>
      <c r="M715">
        <v>0</v>
      </c>
      <c r="N715">
        <v>2.8117865576485989E-3</v>
      </c>
    </row>
    <row r="716" spans="12:14" x14ac:dyDescent="0.3">
      <c r="L716">
        <v>704</v>
      </c>
      <c r="M716">
        <v>0</v>
      </c>
      <c r="N716">
        <v>4.9993290345631769E-2</v>
      </c>
    </row>
    <row r="717" spans="12:14" x14ac:dyDescent="0.3">
      <c r="L717">
        <v>705</v>
      </c>
      <c r="M717">
        <v>0</v>
      </c>
      <c r="N717">
        <v>0.1147213589668637</v>
      </c>
    </row>
    <row r="718" spans="12:14" x14ac:dyDescent="0.3">
      <c r="L718">
        <v>706</v>
      </c>
      <c r="M718">
        <v>1</v>
      </c>
      <c r="N718">
        <v>1.7050291080793173E-2</v>
      </c>
    </row>
    <row r="719" spans="12:14" x14ac:dyDescent="0.3">
      <c r="L719">
        <v>707</v>
      </c>
      <c r="M719">
        <v>0</v>
      </c>
      <c r="N719">
        <v>0.17989442178056314</v>
      </c>
    </row>
    <row r="720" spans="12:14" x14ac:dyDescent="0.3">
      <c r="L720">
        <v>708</v>
      </c>
      <c r="M720">
        <v>0</v>
      </c>
      <c r="N720">
        <v>1.564788381378435E-3</v>
      </c>
    </row>
    <row r="721" spans="12:14" x14ac:dyDescent="0.3">
      <c r="L721">
        <v>709</v>
      </c>
      <c r="M721">
        <v>0</v>
      </c>
      <c r="N721">
        <v>2.4090110604750989E-3</v>
      </c>
    </row>
    <row r="722" spans="12:14" x14ac:dyDescent="0.3">
      <c r="L722">
        <v>710</v>
      </c>
      <c r="M722">
        <v>0</v>
      </c>
      <c r="N722">
        <v>7.7802506245475497E-5</v>
      </c>
    </row>
    <row r="723" spans="12:14" x14ac:dyDescent="0.3">
      <c r="L723">
        <v>711</v>
      </c>
      <c r="M723">
        <v>0</v>
      </c>
      <c r="N723">
        <v>3.9381660806130057E-3</v>
      </c>
    </row>
    <row r="724" spans="12:14" x14ac:dyDescent="0.3">
      <c r="L724">
        <v>712</v>
      </c>
      <c r="M724">
        <v>0</v>
      </c>
      <c r="N724">
        <v>4.11621608330766E-3</v>
      </c>
    </row>
    <row r="725" spans="12:14" x14ac:dyDescent="0.3">
      <c r="L725">
        <v>713</v>
      </c>
      <c r="M725">
        <v>0</v>
      </c>
      <c r="N725">
        <v>8.7739478436573426E-2</v>
      </c>
    </row>
    <row r="726" spans="12:14" x14ac:dyDescent="0.3">
      <c r="L726">
        <v>714</v>
      </c>
      <c r="M726">
        <v>0</v>
      </c>
      <c r="N726">
        <v>4.0880951028778978E-2</v>
      </c>
    </row>
    <row r="727" spans="12:14" x14ac:dyDescent="0.3">
      <c r="L727">
        <v>715</v>
      </c>
      <c r="M727">
        <v>0</v>
      </c>
      <c r="N727">
        <v>1.7207710129054702E-2</v>
      </c>
    </row>
    <row r="728" spans="12:14" x14ac:dyDescent="0.3">
      <c r="L728">
        <v>716</v>
      </c>
      <c r="M728">
        <v>0</v>
      </c>
      <c r="N728">
        <v>6.9117846904102817E-2</v>
      </c>
    </row>
    <row r="729" spans="12:14" x14ac:dyDescent="0.3">
      <c r="L729">
        <v>717</v>
      </c>
      <c r="M729">
        <v>1</v>
      </c>
      <c r="N729">
        <v>1.0222883188420724E-2</v>
      </c>
    </row>
    <row r="730" spans="12:14" x14ac:dyDescent="0.3">
      <c r="L730">
        <v>718</v>
      </c>
      <c r="M730">
        <v>0</v>
      </c>
      <c r="N730">
        <v>0.79649753106310994</v>
      </c>
    </row>
    <row r="731" spans="12:14" x14ac:dyDescent="0.3">
      <c r="L731">
        <v>719</v>
      </c>
      <c r="M731">
        <v>1</v>
      </c>
      <c r="N731">
        <v>4.8999773896894413E-4</v>
      </c>
    </row>
    <row r="732" spans="12:14" x14ac:dyDescent="0.3">
      <c r="L732">
        <v>720</v>
      </c>
      <c r="M732">
        <v>0</v>
      </c>
      <c r="N732">
        <v>0.52019520887263382</v>
      </c>
    </row>
    <row r="733" spans="12:14" x14ac:dyDescent="0.3">
      <c r="L733">
        <v>721</v>
      </c>
      <c r="M733">
        <v>0</v>
      </c>
      <c r="N733">
        <v>6.3544051860119658E-3</v>
      </c>
    </row>
    <row r="734" spans="12:14" x14ac:dyDescent="0.3">
      <c r="L734">
        <v>722</v>
      </c>
      <c r="M734">
        <v>0</v>
      </c>
      <c r="N734">
        <v>0.36242699320373833</v>
      </c>
    </row>
    <row r="735" spans="12:14" x14ac:dyDescent="0.3">
      <c r="L735">
        <v>723</v>
      </c>
      <c r="M735">
        <v>1</v>
      </c>
      <c r="N735">
        <v>0.10034021719733231</v>
      </c>
    </row>
    <row r="736" spans="12:14" x14ac:dyDescent="0.3">
      <c r="L736">
        <v>724</v>
      </c>
      <c r="M736">
        <v>0</v>
      </c>
      <c r="N736">
        <v>3.603591120345312E-3</v>
      </c>
    </row>
    <row r="737" spans="12:14" x14ac:dyDescent="0.3">
      <c r="L737">
        <v>725</v>
      </c>
      <c r="M737">
        <v>0</v>
      </c>
      <c r="N737">
        <v>0.16939486921509322</v>
      </c>
    </row>
    <row r="738" spans="12:14" x14ac:dyDescent="0.3">
      <c r="L738">
        <v>726</v>
      </c>
      <c r="M738">
        <v>0</v>
      </c>
      <c r="N738">
        <v>0.3113313068507253</v>
      </c>
    </row>
    <row r="739" spans="12:14" x14ac:dyDescent="0.3">
      <c r="L739">
        <v>727</v>
      </c>
      <c r="M739">
        <v>0</v>
      </c>
      <c r="N739">
        <v>0.70380587192435584</v>
      </c>
    </row>
    <row r="740" spans="12:14" x14ac:dyDescent="0.3">
      <c r="L740">
        <v>728</v>
      </c>
      <c r="M740">
        <v>0</v>
      </c>
      <c r="N740">
        <v>4.7491473685365007E-2</v>
      </c>
    </row>
    <row r="741" spans="12:14" x14ac:dyDescent="0.3">
      <c r="L741">
        <v>729</v>
      </c>
      <c r="M741">
        <v>0</v>
      </c>
      <c r="N741">
        <v>4.3271605324016627E-3</v>
      </c>
    </row>
    <row r="742" spans="12:14" x14ac:dyDescent="0.3">
      <c r="L742">
        <v>730</v>
      </c>
      <c r="M742">
        <v>1</v>
      </c>
      <c r="N742">
        <v>0.49258523978060115</v>
      </c>
    </row>
    <row r="743" spans="12:14" x14ac:dyDescent="0.3">
      <c r="L743">
        <v>731</v>
      </c>
      <c r="M743">
        <v>0</v>
      </c>
      <c r="N743">
        <v>1.2651365886311655E-5</v>
      </c>
    </row>
    <row r="744" spans="12:14" x14ac:dyDescent="0.3">
      <c r="L744">
        <v>732</v>
      </c>
      <c r="M744">
        <v>0</v>
      </c>
      <c r="N744">
        <v>8.6948340040173225E-2</v>
      </c>
    </row>
    <row r="745" spans="12:14" x14ac:dyDescent="0.3">
      <c r="L745">
        <v>733</v>
      </c>
      <c r="M745">
        <v>0</v>
      </c>
      <c r="N745">
        <v>1.9599153736486559E-3</v>
      </c>
    </row>
    <row r="746" spans="12:14" x14ac:dyDescent="0.3">
      <c r="L746">
        <v>734</v>
      </c>
      <c r="M746">
        <v>0</v>
      </c>
      <c r="N746">
        <v>5.6778469580587548E-2</v>
      </c>
    </row>
    <row r="747" spans="12:14" x14ac:dyDescent="0.3">
      <c r="L747">
        <v>735</v>
      </c>
      <c r="M747">
        <v>0</v>
      </c>
      <c r="N747">
        <v>0.24562283105858695</v>
      </c>
    </row>
    <row r="748" spans="12:14" x14ac:dyDescent="0.3">
      <c r="L748">
        <v>736</v>
      </c>
      <c r="M748">
        <v>0</v>
      </c>
      <c r="N748">
        <v>4.946288354847052E-3</v>
      </c>
    </row>
    <row r="749" spans="12:14" x14ac:dyDescent="0.3">
      <c r="L749">
        <v>737</v>
      </c>
      <c r="M749">
        <v>0</v>
      </c>
      <c r="N749">
        <v>3.2339829537754942E-3</v>
      </c>
    </row>
    <row r="750" spans="12:14" x14ac:dyDescent="0.3">
      <c r="L750">
        <v>738</v>
      </c>
      <c r="M750">
        <v>0</v>
      </c>
      <c r="N750">
        <v>0.62361291124901275</v>
      </c>
    </row>
    <row r="751" spans="12:14" x14ac:dyDescent="0.3">
      <c r="L751">
        <v>739</v>
      </c>
      <c r="M751">
        <v>0</v>
      </c>
      <c r="N751">
        <v>4.8294184522742027E-2</v>
      </c>
    </row>
    <row r="752" spans="12:14" x14ac:dyDescent="0.3">
      <c r="L752">
        <v>740</v>
      </c>
      <c r="M752">
        <v>0</v>
      </c>
      <c r="N752">
        <v>4.8632692989205384E-3</v>
      </c>
    </row>
    <row r="753" spans="12:14" x14ac:dyDescent="0.3">
      <c r="L753">
        <v>741</v>
      </c>
      <c r="M753">
        <v>0</v>
      </c>
      <c r="N753">
        <v>9.0186255326020134E-4</v>
      </c>
    </row>
    <row r="754" spans="12:14" x14ac:dyDescent="0.3">
      <c r="L754">
        <v>742</v>
      </c>
      <c r="M754">
        <v>0</v>
      </c>
      <c r="N754">
        <v>1.1916867373112896E-2</v>
      </c>
    </row>
    <row r="755" spans="12:14" x14ac:dyDescent="0.3">
      <c r="L755">
        <v>743</v>
      </c>
      <c r="M755">
        <v>0</v>
      </c>
      <c r="N755">
        <v>1.3637947630190017E-2</v>
      </c>
    </row>
    <row r="756" spans="12:14" x14ac:dyDescent="0.3">
      <c r="L756">
        <v>744</v>
      </c>
      <c r="M756">
        <v>0</v>
      </c>
      <c r="N756">
        <v>2.2369932775332134E-2</v>
      </c>
    </row>
    <row r="757" spans="12:14" x14ac:dyDescent="0.3">
      <c r="L757">
        <v>745</v>
      </c>
      <c r="M757">
        <v>0</v>
      </c>
      <c r="N757">
        <v>1.1332129973734247E-3</v>
      </c>
    </row>
    <row r="758" spans="12:14" x14ac:dyDescent="0.3">
      <c r="L758">
        <v>746</v>
      </c>
      <c r="M758">
        <v>0</v>
      </c>
      <c r="N758">
        <v>2.0367349916381555E-5</v>
      </c>
    </row>
    <row r="759" spans="12:14" x14ac:dyDescent="0.3">
      <c r="L759">
        <v>747</v>
      </c>
      <c r="M759">
        <v>0</v>
      </c>
      <c r="N759">
        <v>1.3995483688385628E-2</v>
      </c>
    </row>
    <row r="760" spans="12:14" x14ac:dyDescent="0.3">
      <c r="L760">
        <v>748</v>
      </c>
      <c r="M760">
        <v>0</v>
      </c>
      <c r="N760">
        <v>0.99518909750916185</v>
      </c>
    </row>
    <row r="761" spans="12:14" x14ac:dyDescent="0.3">
      <c r="L761">
        <v>749</v>
      </c>
      <c r="M761">
        <v>0</v>
      </c>
      <c r="N761">
        <v>1.0760835776829607E-3</v>
      </c>
    </row>
    <row r="762" spans="12:14" x14ac:dyDescent="0.3">
      <c r="L762">
        <v>750</v>
      </c>
      <c r="M762">
        <v>1</v>
      </c>
      <c r="N762">
        <v>0.83224592962246846</v>
      </c>
    </row>
    <row r="763" spans="12:14" x14ac:dyDescent="0.3">
      <c r="L763">
        <v>751</v>
      </c>
      <c r="M763">
        <v>0</v>
      </c>
      <c r="N763">
        <v>5.5477176673496609E-2</v>
      </c>
    </row>
    <row r="764" spans="12:14" x14ac:dyDescent="0.3">
      <c r="L764">
        <v>752</v>
      </c>
      <c r="M764">
        <v>0</v>
      </c>
      <c r="N764">
        <v>0.83462861420217982</v>
      </c>
    </row>
    <row r="765" spans="12:14" x14ac:dyDescent="0.3">
      <c r="L765">
        <v>753</v>
      </c>
      <c r="M765">
        <v>0</v>
      </c>
      <c r="N765">
        <v>0.10369343336801778</v>
      </c>
    </row>
    <row r="766" spans="12:14" x14ac:dyDescent="0.3">
      <c r="L766">
        <v>754</v>
      </c>
      <c r="M766">
        <v>0</v>
      </c>
      <c r="N766">
        <v>8.3833713115816805E-2</v>
      </c>
    </row>
    <row r="767" spans="12:14" x14ac:dyDescent="0.3">
      <c r="L767">
        <v>755</v>
      </c>
      <c r="M767">
        <v>0</v>
      </c>
      <c r="N767">
        <v>2.5799808297927249E-2</v>
      </c>
    </row>
    <row r="768" spans="12:14" x14ac:dyDescent="0.3">
      <c r="L768">
        <v>756</v>
      </c>
      <c r="M768">
        <v>1</v>
      </c>
      <c r="N768">
        <v>1.1993839831955016E-3</v>
      </c>
    </row>
    <row r="769" spans="12:14" x14ac:dyDescent="0.3">
      <c r="L769">
        <v>757</v>
      </c>
      <c r="M769">
        <v>0</v>
      </c>
      <c r="N769">
        <v>2.3034124327615122E-2</v>
      </c>
    </row>
    <row r="770" spans="12:14" x14ac:dyDescent="0.3">
      <c r="L770">
        <v>758</v>
      </c>
      <c r="M770">
        <v>1</v>
      </c>
      <c r="N770">
        <v>1.8495857472688445E-4</v>
      </c>
    </row>
    <row r="771" spans="12:14" x14ac:dyDescent="0.3">
      <c r="L771">
        <v>759</v>
      </c>
      <c r="M771">
        <v>0</v>
      </c>
      <c r="N771">
        <v>1.5236697830899816E-3</v>
      </c>
    </row>
    <row r="772" spans="12:14" x14ac:dyDescent="0.3">
      <c r="L772">
        <v>760</v>
      </c>
      <c r="M772">
        <v>1</v>
      </c>
      <c r="N772">
        <v>8.6424628499089211E-3</v>
      </c>
    </row>
    <row r="773" spans="12:14" x14ac:dyDescent="0.3">
      <c r="L773">
        <v>761</v>
      </c>
      <c r="M773">
        <v>0</v>
      </c>
      <c r="N773">
        <v>0.16919512751249924</v>
      </c>
    </row>
    <row r="774" spans="12:14" x14ac:dyDescent="0.3">
      <c r="L774">
        <v>762</v>
      </c>
      <c r="M774">
        <v>0</v>
      </c>
      <c r="N774">
        <v>1.2008509781974471E-3</v>
      </c>
    </row>
    <row r="775" spans="12:14" x14ac:dyDescent="0.3">
      <c r="L775">
        <v>763</v>
      </c>
      <c r="M775">
        <v>0</v>
      </c>
      <c r="N775">
        <v>0.29754461379833136</v>
      </c>
    </row>
    <row r="776" spans="12:14" x14ac:dyDescent="0.3">
      <c r="L776">
        <v>764</v>
      </c>
      <c r="M776">
        <v>0</v>
      </c>
      <c r="N776">
        <v>2.2668567668322412E-3</v>
      </c>
    </row>
    <row r="777" spans="12:14" x14ac:dyDescent="0.3">
      <c r="L777">
        <v>765</v>
      </c>
      <c r="M777">
        <v>1</v>
      </c>
      <c r="N777">
        <v>2.4183898175329538E-2</v>
      </c>
    </row>
    <row r="778" spans="12:14" x14ac:dyDescent="0.3">
      <c r="L778">
        <v>766</v>
      </c>
      <c r="M778">
        <v>0</v>
      </c>
      <c r="N778">
        <v>6.4313126598738557E-4</v>
      </c>
    </row>
    <row r="779" spans="12:14" x14ac:dyDescent="0.3">
      <c r="L779">
        <v>767</v>
      </c>
      <c r="M779">
        <v>0</v>
      </c>
      <c r="N779">
        <v>1.083479134723588E-3</v>
      </c>
    </row>
    <row r="780" spans="12:14" x14ac:dyDescent="0.3">
      <c r="L780">
        <v>768</v>
      </c>
      <c r="M780">
        <v>0</v>
      </c>
      <c r="N780">
        <v>9.7344139223358005E-4</v>
      </c>
    </row>
    <row r="781" spans="12:14" x14ac:dyDescent="0.3">
      <c r="L781">
        <v>769</v>
      </c>
      <c r="M781">
        <v>0</v>
      </c>
      <c r="N781">
        <v>0.12613516277371559</v>
      </c>
    </row>
    <row r="782" spans="12:14" x14ac:dyDescent="0.3">
      <c r="L782">
        <v>770</v>
      </c>
      <c r="M782">
        <v>0</v>
      </c>
      <c r="N782">
        <v>9.8368555946942498E-5</v>
      </c>
    </row>
    <row r="783" spans="12:14" x14ac:dyDescent="0.3">
      <c r="L783">
        <v>771</v>
      </c>
      <c r="M783">
        <v>0</v>
      </c>
      <c r="N783">
        <v>0.56541571882900732</v>
      </c>
    </row>
    <row r="784" spans="12:14" x14ac:dyDescent="0.3">
      <c r="L784">
        <v>772</v>
      </c>
      <c r="M784">
        <v>0</v>
      </c>
      <c r="N784">
        <v>0.4090093658284652</v>
      </c>
    </row>
    <row r="785" spans="12:14" x14ac:dyDescent="0.3">
      <c r="L785">
        <v>773</v>
      </c>
      <c r="M785">
        <v>0</v>
      </c>
      <c r="N785">
        <v>1.5103188453637478E-3</v>
      </c>
    </row>
    <row r="786" spans="12:14" x14ac:dyDescent="0.3">
      <c r="L786">
        <v>774</v>
      </c>
      <c r="M786">
        <v>0</v>
      </c>
      <c r="N786">
        <v>6.131130551787458E-2</v>
      </c>
    </row>
    <row r="787" spans="12:14" x14ac:dyDescent="0.3">
      <c r="L787">
        <v>775</v>
      </c>
      <c r="M787">
        <v>0</v>
      </c>
      <c r="N787">
        <v>1.2927087596437855E-4</v>
      </c>
    </row>
    <row r="788" spans="12:14" x14ac:dyDescent="0.3">
      <c r="L788">
        <v>776</v>
      </c>
      <c r="M788">
        <v>0</v>
      </c>
      <c r="N788">
        <v>0.36132933903651554</v>
      </c>
    </row>
    <row r="789" spans="12:14" x14ac:dyDescent="0.3">
      <c r="L789">
        <v>777</v>
      </c>
      <c r="M789">
        <v>1</v>
      </c>
      <c r="N789">
        <v>1.8026659533478873E-2</v>
      </c>
    </row>
    <row r="790" spans="12:14" x14ac:dyDescent="0.3">
      <c r="L790">
        <v>778</v>
      </c>
      <c r="M790">
        <v>0</v>
      </c>
      <c r="N790">
        <v>1.7697074148871373E-4</v>
      </c>
    </row>
    <row r="791" spans="12:14" x14ac:dyDescent="0.3">
      <c r="L791">
        <v>779</v>
      </c>
      <c r="M791">
        <v>1</v>
      </c>
      <c r="N791">
        <v>8.5646615827775358E-3</v>
      </c>
    </row>
    <row r="792" spans="12:14" x14ac:dyDescent="0.3">
      <c r="L792">
        <v>780</v>
      </c>
      <c r="M792">
        <v>0</v>
      </c>
      <c r="N792">
        <v>2.9576433859983868E-2</v>
      </c>
    </row>
    <row r="793" spans="12:14" x14ac:dyDescent="0.3">
      <c r="L793">
        <v>781</v>
      </c>
      <c r="M793">
        <v>0</v>
      </c>
      <c r="N793">
        <v>0.25829499699878017</v>
      </c>
    </row>
    <row r="794" spans="12:14" x14ac:dyDescent="0.3">
      <c r="L794">
        <v>782</v>
      </c>
      <c r="M794">
        <v>0</v>
      </c>
      <c r="N794">
        <v>8.0310783884132708E-3</v>
      </c>
    </row>
    <row r="795" spans="12:14" x14ac:dyDescent="0.3">
      <c r="L795">
        <v>783</v>
      </c>
      <c r="M795">
        <v>0</v>
      </c>
      <c r="N795">
        <v>3.8765230632902877E-3</v>
      </c>
    </row>
    <row r="796" spans="12:14" x14ac:dyDescent="0.3">
      <c r="L796">
        <v>784</v>
      </c>
      <c r="M796">
        <v>0</v>
      </c>
      <c r="N796">
        <v>4.7210588958864104E-2</v>
      </c>
    </row>
    <row r="797" spans="12:14" x14ac:dyDescent="0.3">
      <c r="L797">
        <v>785</v>
      </c>
      <c r="M797">
        <v>1</v>
      </c>
      <c r="N797">
        <v>6.1081452665601279E-3</v>
      </c>
    </row>
    <row r="798" spans="12:14" x14ac:dyDescent="0.3">
      <c r="L798">
        <v>786</v>
      </c>
      <c r="M798">
        <v>0</v>
      </c>
      <c r="N798">
        <v>4.7145874628813741E-2</v>
      </c>
    </row>
    <row r="799" spans="12:14" x14ac:dyDescent="0.3">
      <c r="L799">
        <v>787</v>
      </c>
      <c r="M799">
        <v>0</v>
      </c>
      <c r="N799">
        <v>8.2036930734191E-4</v>
      </c>
    </row>
    <row r="800" spans="12:14" x14ac:dyDescent="0.3">
      <c r="L800">
        <v>788</v>
      </c>
      <c r="M800">
        <v>0</v>
      </c>
      <c r="N800">
        <v>4.6747984793481237E-3</v>
      </c>
    </row>
    <row r="801" spans="12:14" x14ac:dyDescent="0.3">
      <c r="L801">
        <v>789</v>
      </c>
      <c r="M801">
        <v>0</v>
      </c>
      <c r="N801">
        <v>4.6504852276614472E-3</v>
      </c>
    </row>
    <row r="802" spans="12:14" x14ac:dyDescent="0.3">
      <c r="L802">
        <v>790</v>
      </c>
      <c r="M802">
        <v>0</v>
      </c>
      <c r="N802">
        <v>3.4958035364500723E-3</v>
      </c>
    </row>
    <row r="803" spans="12:14" x14ac:dyDescent="0.3">
      <c r="L803">
        <v>791</v>
      </c>
      <c r="M803">
        <v>0</v>
      </c>
      <c r="N803">
        <v>2.9148348567003463E-2</v>
      </c>
    </row>
    <row r="804" spans="12:14" x14ac:dyDescent="0.3">
      <c r="L804">
        <v>792</v>
      </c>
      <c r="M804">
        <v>0</v>
      </c>
      <c r="N804">
        <v>3.1153928448506905E-3</v>
      </c>
    </row>
    <row r="805" spans="12:14" x14ac:dyDescent="0.3">
      <c r="L805">
        <v>793</v>
      </c>
      <c r="M805">
        <v>0</v>
      </c>
      <c r="N805">
        <v>1.509435844511928E-4</v>
      </c>
    </row>
    <row r="806" spans="12:14" x14ac:dyDescent="0.3">
      <c r="L806">
        <v>794</v>
      </c>
      <c r="M806">
        <v>0</v>
      </c>
      <c r="N806">
        <v>1.5078178535500285E-3</v>
      </c>
    </row>
    <row r="807" spans="12:14" x14ac:dyDescent="0.3">
      <c r="L807">
        <v>795</v>
      </c>
      <c r="M807">
        <v>0</v>
      </c>
      <c r="N807">
        <v>2.5067546225106528E-3</v>
      </c>
    </row>
    <row r="808" spans="12:14" x14ac:dyDescent="0.3">
      <c r="L808">
        <v>796</v>
      </c>
      <c r="M808">
        <v>0</v>
      </c>
      <c r="N808">
        <v>0.23233744116652624</v>
      </c>
    </row>
    <row r="809" spans="12:14" x14ac:dyDescent="0.3">
      <c r="L809">
        <v>797</v>
      </c>
      <c r="M809">
        <v>1</v>
      </c>
      <c r="N809">
        <v>1.0192790395372226E-3</v>
      </c>
    </row>
    <row r="810" spans="12:14" x14ac:dyDescent="0.3">
      <c r="L810">
        <v>798</v>
      </c>
      <c r="M810">
        <v>0</v>
      </c>
      <c r="N810">
        <v>0.65013903009157881</v>
      </c>
    </row>
    <row r="811" spans="12:14" x14ac:dyDescent="0.3">
      <c r="L811">
        <v>799</v>
      </c>
      <c r="M811">
        <v>0</v>
      </c>
      <c r="N811">
        <v>3.6498137298809644E-2</v>
      </c>
    </row>
    <row r="812" spans="12:14" x14ac:dyDescent="0.3">
      <c r="L812">
        <v>800</v>
      </c>
      <c r="M812">
        <v>0</v>
      </c>
      <c r="N812">
        <v>1.7879768465080208E-4</v>
      </c>
    </row>
    <row r="813" spans="12:14" x14ac:dyDescent="0.3">
      <c r="L813">
        <v>801</v>
      </c>
      <c r="M813">
        <v>0</v>
      </c>
      <c r="N813">
        <v>7.8377480067513883E-2</v>
      </c>
    </row>
    <row r="814" spans="12:14" x14ac:dyDescent="0.3">
      <c r="L814">
        <v>802</v>
      </c>
      <c r="M814">
        <v>0</v>
      </c>
      <c r="N814">
        <v>6.576588251438459E-3</v>
      </c>
    </row>
    <row r="815" spans="12:14" x14ac:dyDescent="0.3">
      <c r="L815">
        <v>803</v>
      </c>
      <c r="M815">
        <v>0</v>
      </c>
      <c r="N815">
        <v>0.98199324941184529</v>
      </c>
    </row>
    <row r="816" spans="12:14" x14ac:dyDescent="0.3">
      <c r="L816">
        <v>804</v>
      </c>
      <c r="M816">
        <v>0</v>
      </c>
      <c r="N816">
        <v>0.17477284183688899</v>
      </c>
    </row>
    <row r="817" spans="12:14" x14ac:dyDescent="0.3">
      <c r="L817">
        <v>805</v>
      </c>
      <c r="M817">
        <v>1</v>
      </c>
      <c r="N817">
        <v>0.97164110776928259</v>
      </c>
    </row>
    <row r="818" spans="12:14" x14ac:dyDescent="0.3">
      <c r="L818">
        <v>806</v>
      </c>
      <c r="M818">
        <v>1</v>
      </c>
      <c r="N818">
        <v>3.7562050643900084E-3</v>
      </c>
    </row>
    <row r="819" spans="12:14" x14ac:dyDescent="0.3">
      <c r="L819">
        <v>807</v>
      </c>
      <c r="M819">
        <v>0</v>
      </c>
      <c r="N819">
        <v>2.0030744534532144E-2</v>
      </c>
    </row>
    <row r="820" spans="12:14" x14ac:dyDescent="0.3">
      <c r="L820">
        <v>808</v>
      </c>
      <c r="M820">
        <v>0</v>
      </c>
      <c r="N820">
        <v>5.2235776421738912E-4</v>
      </c>
    </row>
    <row r="821" spans="12:14" x14ac:dyDescent="0.3">
      <c r="L821">
        <v>809</v>
      </c>
      <c r="M821">
        <v>0</v>
      </c>
      <c r="N821">
        <v>0.73414296975987026</v>
      </c>
    </row>
    <row r="822" spans="12:14" x14ac:dyDescent="0.3">
      <c r="L822">
        <v>810</v>
      </c>
      <c r="M822">
        <v>0</v>
      </c>
      <c r="N822">
        <v>1.181514021211445E-3</v>
      </c>
    </row>
    <row r="823" spans="12:14" x14ac:dyDescent="0.3">
      <c r="L823">
        <v>811</v>
      </c>
      <c r="M823">
        <v>0</v>
      </c>
      <c r="N823">
        <v>6.8312167431143446E-4</v>
      </c>
    </row>
    <row r="824" spans="12:14" x14ac:dyDescent="0.3">
      <c r="L824">
        <v>812</v>
      </c>
      <c r="M824">
        <v>0</v>
      </c>
      <c r="N824">
        <v>0.92715695816631072</v>
      </c>
    </row>
    <row r="825" spans="12:14" x14ac:dyDescent="0.3">
      <c r="L825">
        <v>813</v>
      </c>
      <c r="M825">
        <v>0</v>
      </c>
      <c r="N825">
        <v>0.30538949266123733</v>
      </c>
    </row>
    <row r="826" spans="12:14" x14ac:dyDescent="0.3">
      <c r="L826">
        <v>814</v>
      </c>
      <c r="M826">
        <v>0</v>
      </c>
      <c r="N826">
        <v>0.9534581799793278</v>
      </c>
    </row>
    <row r="827" spans="12:14" x14ac:dyDescent="0.3">
      <c r="L827">
        <v>815</v>
      </c>
      <c r="M827">
        <v>1</v>
      </c>
      <c r="N827">
        <v>8.4441611624584384E-2</v>
      </c>
    </row>
    <row r="828" spans="12:14" x14ac:dyDescent="0.3">
      <c r="L828">
        <v>816</v>
      </c>
      <c r="M828">
        <v>0</v>
      </c>
      <c r="N828">
        <v>2.8102962418516115E-3</v>
      </c>
    </row>
    <row r="829" spans="12:14" x14ac:dyDescent="0.3">
      <c r="L829">
        <v>817</v>
      </c>
      <c r="M829">
        <v>0</v>
      </c>
      <c r="N829">
        <v>0.99980981808305114</v>
      </c>
    </row>
    <row r="830" spans="12:14" x14ac:dyDescent="0.3">
      <c r="L830">
        <v>818</v>
      </c>
      <c r="M830">
        <v>0</v>
      </c>
      <c r="N830">
        <v>3.3861579202621415E-4</v>
      </c>
    </row>
    <row r="831" spans="12:14" x14ac:dyDescent="0.3">
      <c r="L831">
        <v>819</v>
      </c>
      <c r="M831">
        <v>0</v>
      </c>
      <c r="N831">
        <v>0.97036529978469899</v>
      </c>
    </row>
    <row r="832" spans="12:14" x14ac:dyDescent="0.3">
      <c r="L832">
        <v>820</v>
      </c>
      <c r="M832">
        <v>0</v>
      </c>
      <c r="N832">
        <v>5.6788733751257647E-3</v>
      </c>
    </row>
    <row r="833" spans="12:14" x14ac:dyDescent="0.3">
      <c r="L833">
        <v>821</v>
      </c>
      <c r="M833">
        <v>0</v>
      </c>
      <c r="N833">
        <v>2.2798553590168431E-3</v>
      </c>
    </row>
    <row r="834" spans="12:14" x14ac:dyDescent="0.3">
      <c r="L834">
        <v>822</v>
      </c>
      <c r="M834">
        <v>1</v>
      </c>
      <c r="N834">
        <v>1.0069837858601241E-3</v>
      </c>
    </row>
    <row r="835" spans="12:14" x14ac:dyDescent="0.3">
      <c r="L835">
        <v>823</v>
      </c>
      <c r="M835">
        <v>0</v>
      </c>
      <c r="N835">
        <v>0.16862674583340301</v>
      </c>
    </row>
    <row r="836" spans="12:14" x14ac:dyDescent="0.3">
      <c r="L836">
        <v>824</v>
      </c>
      <c r="M836">
        <v>0</v>
      </c>
      <c r="N836">
        <v>0.19498732582396341</v>
      </c>
    </row>
    <row r="837" spans="12:14" x14ac:dyDescent="0.3">
      <c r="L837">
        <v>825</v>
      </c>
      <c r="M837">
        <v>0</v>
      </c>
      <c r="N837">
        <v>9.4686863848313563E-4</v>
      </c>
    </row>
    <row r="838" spans="12:14" x14ac:dyDescent="0.3">
      <c r="L838">
        <v>826</v>
      </c>
      <c r="M838">
        <v>0</v>
      </c>
      <c r="N838">
        <v>1.4480854264407258E-3</v>
      </c>
    </row>
    <row r="839" spans="12:14" x14ac:dyDescent="0.3">
      <c r="L839">
        <v>827</v>
      </c>
      <c r="M839">
        <v>1</v>
      </c>
      <c r="N839">
        <v>8.0338811827931661E-4</v>
      </c>
    </row>
    <row r="840" spans="12:14" x14ac:dyDescent="0.3">
      <c r="L840">
        <v>828</v>
      </c>
      <c r="M840">
        <v>0</v>
      </c>
      <c r="N840">
        <v>1.4781354512518044E-2</v>
      </c>
    </row>
    <row r="841" spans="12:14" x14ac:dyDescent="0.3">
      <c r="L841">
        <v>829</v>
      </c>
      <c r="M841">
        <v>1</v>
      </c>
      <c r="N841">
        <v>5.666008221519179E-3</v>
      </c>
    </row>
    <row r="842" spans="12:14" x14ac:dyDescent="0.3">
      <c r="L842">
        <v>830</v>
      </c>
      <c r="M842">
        <v>0</v>
      </c>
      <c r="N842">
        <v>0.12730259591192536</v>
      </c>
    </row>
    <row r="843" spans="12:14" x14ac:dyDescent="0.3">
      <c r="L843">
        <v>831</v>
      </c>
      <c r="M843">
        <v>0</v>
      </c>
      <c r="N843">
        <v>0.23964181217085484</v>
      </c>
    </row>
    <row r="844" spans="12:14" x14ac:dyDescent="0.3">
      <c r="L844">
        <v>832</v>
      </c>
      <c r="M844">
        <v>0</v>
      </c>
      <c r="N844">
        <v>0.13166262539969456</v>
      </c>
    </row>
    <row r="845" spans="12:14" x14ac:dyDescent="0.3">
      <c r="L845">
        <v>833</v>
      </c>
      <c r="M845">
        <v>0</v>
      </c>
      <c r="N845">
        <v>1.7658472469818606E-2</v>
      </c>
    </row>
    <row r="846" spans="12:14" x14ac:dyDescent="0.3">
      <c r="L846">
        <v>834</v>
      </c>
      <c r="M846">
        <v>0</v>
      </c>
      <c r="N846">
        <v>4.5551251885799247E-2</v>
      </c>
    </row>
    <row r="847" spans="12:14" x14ac:dyDescent="0.3">
      <c r="L847">
        <v>835</v>
      </c>
      <c r="M847">
        <v>0</v>
      </c>
      <c r="N847">
        <v>1.6625998533164647E-2</v>
      </c>
    </row>
    <row r="848" spans="12:14" x14ac:dyDescent="0.3">
      <c r="L848">
        <v>836</v>
      </c>
      <c r="M848">
        <v>0</v>
      </c>
      <c r="N848">
        <v>0.51252650956496293</v>
      </c>
    </row>
    <row r="849" spans="12:14" x14ac:dyDescent="0.3">
      <c r="L849">
        <v>837</v>
      </c>
      <c r="M849">
        <v>0</v>
      </c>
      <c r="N849">
        <v>1.7106222794558326E-2</v>
      </c>
    </row>
    <row r="850" spans="12:14" x14ac:dyDescent="0.3">
      <c r="L850">
        <v>838</v>
      </c>
      <c r="M850">
        <v>0</v>
      </c>
      <c r="N850">
        <v>0.33012518380892547</v>
      </c>
    </row>
    <row r="851" spans="12:14" x14ac:dyDescent="0.3">
      <c r="L851">
        <v>839</v>
      </c>
      <c r="M851">
        <v>1</v>
      </c>
      <c r="N851">
        <v>7.1429814028835428E-2</v>
      </c>
    </row>
    <row r="852" spans="12:14" x14ac:dyDescent="0.3">
      <c r="L852">
        <v>840</v>
      </c>
      <c r="M852">
        <v>0</v>
      </c>
      <c r="N852">
        <v>1.5394367233928187E-3</v>
      </c>
    </row>
    <row r="853" spans="12:14" x14ac:dyDescent="0.3">
      <c r="L853">
        <v>841</v>
      </c>
      <c r="M853">
        <v>0</v>
      </c>
      <c r="N853">
        <v>1.2052935367749189E-3</v>
      </c>
    </row>
    <row r="854" spans="12:14" x14ac:dyDescent="0.3">
      <c r="L854">
        <v>842</v>
      </c>
      <c r="M854">
        <v>0</v>
      </c>
      <c r="N854">
        <v>1.4372037330228135E-2</v>
      </c>
    </row>
    <row r="855" spans="12:14" x14ac:dyDescent="0.3">
      <c r="L855">
        <v>843</v>
      </c>
      <c r="M855">
        <v>1</v>
      </c>
      <c r="N855">
        <v>6.7463992358334599E-2</v>
      </c>
    </row>
    <row r="856" spans="12:14" x14ac:dyDescent="0.3">
      <c r="L856">
        <v>844</v>
      </c>
      <c r="M856">
        <v>1</v>
      </c>
      <c r="N856">
        <v>0.99997528883336051</v>
      </c>
    </row>
    <row r="857" spans="12:14" x14ac:dyDescent="0.3">
      <c r="L857">
        <v>845</v>
      </c>
      <c r="M857">
        <v>1</v>
      </c>
      <c r="N857">
        <v>6.7616454198741712E-5</v>
      </c>
    </row>
    <row r="858" spans="12:14" x14ac:dyDescent="0.3">
      <c r="L858">
        <v>846</v>
      </c>
      <c r="M858">
        <v>0</v>
      </c>
      <c r="N858">
        <v>3.2431022467697045E-2</v>
      </c>
    </row>
    <row r="859" spans="12:14" x14ac:dyDescent="0.3">
      <c r="L859">
        <v>847</v>
      </c>
      <c r="M859">
        <v>0</v>
      </c>
      <c r="N859">
        <v>8.8814636811208755E-2</v>
      </c>
    </row>
    <row r="860" spans="12:14" x14ac:dyDescent="0.3">
      <c r="L860">
        <v>848</v>
      </c>
      <c r="M860">
        <v>1</v>
      </c>
      <c r="N860">
        <v>2.183732168672447E-3</v>
      </c>
    </row>
    <row r="861" spans="12:14" x14ac:dyDescent="0.3">
      <c r="L861">
        <v>849</v>
      </c>
      <c r="M861">
        <v>0</v>
      </c>
      <c r="N861">
        <v>1.7708866948351217E-3</v>
      </c>
    </row>
    <row r="862" spans="12:14" x14ac:dyDescent="0.3">
      <c r="L862">
        <v>850</v>
      </c>
      <c r="M862">
        <v>0</v>
      </c>
      <c r="N862">
        <v>4.7622718397493581E-2</v>
      </c>
    </row>
    <row r="863" spans="12:14" x14ac:dyDescent="0.3">
      <c r="L863">
        <v>851</v>
      </c>
      <c r="M863">
        <v>1</v>
      </c>
      <c r="N863">
        <v>1.4392706715718351E-2</v>
      </c>
    </row>
    <row r="864" spans="12:14" x14ac:dyDescent="0.3">
      <c r="L864">
        <v>852</v>
      </c>
      <c r="M864">
        <v>0</v>
      </c>
      <c r="N864">
        <v>2.3620673956489958E-2</v>
      </c>
    </row>
    <row r="865" spans="12:14" x14ac:dyDescent="0.3">
      <c r="L865">
        <v>853</v>
      </c>
      <c r="M865">
        <v>1</v>
      </c>
      <c r="N865">
        <v>0.45942345199832224</v>
      </c>
    </row>
    <row r="866" spans="12:14" x14ac:dyDescent="0.3">
      <c r="L866">
        <v>854</v>
      </c>
      <c r="M866">
        <v>0</v>
      </c>
      <c r="N866">
        <v>6.8404801085871991E-2</v>
      </c>
    </row>
    <row r="867" spans="12:14" x14ac:dyDescent="0.3">
      <c r="L867">
        <v>855</v>
      </c>
      <c r="M867">
        <v>0</v>
      </c>
      <c r="N867">
        <v>3.8914628970037615E-4</v>
      </c>
    </row>
    <row r="868" spans="12:14" x14ac:dyDescent="0.3">
      <c r="L868">
        <v>856</v>
      </c>
      <c r="M868">
        <v>0</v>
      </c>
      <c r="N868">
        <v>6.9436075853260082E-3</v>
      </c>
    </row>
    <row r="869" spans="12:14" x14ac:dyDescent="0.3">
      <c r="L869">
        <v>857</v>
      </c>
      <c r="M869">
        <v>0</v>
      </c>
      <c r="N869">
        <v>5.6753309549498754E-3</v>
      </c>
    </row>
    <row r="870" spans="12:14" x14ac:dyDescent="0.3">
      <c r="L870">
        <v>858</v>
      </c>
      <c r="M870">
        <v>0</v>
      </c>
      <c r="N870">
        <v>0.35599504768531243</v>
      </c>
    </row>
    <row r="871" spans="12:14" x14ac:dyDescent="0.3">
      <c r="L871">
        <v>859</v>
      </c>
      <c r="M871">
        <v>1</v>
      </c>
      <c r="N871">
        <v>8.5989694207549774E-3</v>
      </c>
    </row>
    <row r="872" spans="12:14" x14ac:dyDescent="0.3">
      <c r="L872">
        <v>860</v>
      </c>
      <c r="M872">
        <v>0</v>
      </c>
      <c r="N872">
        <v>0.98745942114959329</v>
      </c>
    </row>
    <row r="873" spans="12:14" x14ac:dyDescent="0.3">
      <c r="L873">
        <v>861</v>
      </c>
      <c r="M873">
        <v>0</v>
      </c>
      <c r="N873">
        <v>0.98168817449074197</v>
      </c>
    </row>
    <row r="874" spans="12:14" x14ac:dyDescent="0.3">
      <c r="L874">
        <v>862</v>
      </c>
      <c r="M874">
        <v>0</v>
      </c>
      <c r="N874">
        <v>2.3985616730839406E-3</v>
      </c>
    </row>
    <row r="875" spans="12:14" x14ac:dyDescent="0.3">
      <c r="L875">
        <v>863</v>
      </c>
      <c r="M875">
        <v>0</v>
      </c>
      <c r="N875">
        <v>0.30690900211182298</v>
      </c>
    </row>
    <row r="876" spans="12:14" x14ac:dyDescent="0.3">
      <c r="L876">
        <v>864</v>
      </c>
      <c r="M876">
        <v>1</v>
      </c>
      <c r="N876">
        <v>0.63031284100089124</v>
      </c>
    </row>
    <row r="877" spans="12:14" x14ac:dyDescent="0.3">
      <c r="L877">
        <v>865</v>
      </c>
      <c r="M877">
        <v>0</v>
      </c>
      <c r="N877">
        <v>2.1728542800964704E-2</v>
      </c>
    </row>
    <row r="878" spans="12:14" x14ac:dyDescent="0.3">
      <c r="L878">
        <v>866</v>
      </c>
      <c r="M878">
        <v>0</v>
      </c>
      <c r="N878">
        <v>2.2423411162790286E-5</v>
      </c>
    </row>
    <row r="879" spans="12:14" x14ac:dyDescent="0.3">
      <c r="L879">
        <v>867</v>
      </c>
      <c r="M879">
        <v>0</v>
      </c>
      <c r="N879">
        <v>6.446553066827349E-3</v>
      </c>
    </row>
    <row r="880" spans="12:14" x14ac:dyDescent="0.3">
      <c r="L880">
        <v>868</v>
      </c>
      <c r="M880">
        <v>0</v>
      </c>
      <c r="N880">
        <v>2.6398336941815578E-2</v>
      </c>
    </row>
    <row r="881" spans="12:14" x14ac:dyDescent="0.3">
      <c r="L881">
        <v>869</v>
      </c>
      <c r="M881">
        <v>0</v>
      </c>
      <c r="N881">
        <v>9.1793676891878083E-3</v>
      </c>
    </row>
    <row r="882" spans="12:14" x14ac:dyDescent="0.3">
      <c r="L882">
        <v>870</v>
      </c>
      <c r="M882">
        <v>0</v>
      </c>
      <c r="N882">
        <v>6.6496797664462023E-2</v>
      </c>
    </row>
    <row r="883" spans="12:14" x14ac:dyDescent="0.3">
      <c r="L883">
        <v>871</v>
      </c>
      <c r="M883">
        <v>1</v>
      </c>
      <c r="N883">
        <v>5.7494174094029647E-5</v>
      </c>
    </row>
    <row r="884" spans="12:14" x14ac:dyDescent="0.3">
      <c r="L884">
        <v>872</v>
      </c>
      <c r="M884">
        <v>1</v>
      </c>
      <c r="N884">
        <v>1.072094686559551E-3</v>
      </c>
    </row>
    <row r="885" spans="12:14" x14ac:dyDescent="0.3">
      <c r="L885">
        <v>873</v>
      </c>
      <c r="M885">
        <v>1</v>
      </c>
      <c r="N885">
        <v>8.35026962514567E-3</v>
      </c>
    </row>
    <row r="886" spans="12:14" x14ac:dyDescent="0.3">
      <c r="L886">
        <v>874</v>
      </c>
      <c r="M886">
        <v>0</v>
      </c>
      <c r="N886">
        <v>2.8997663380877484E-4</v>
      </c>
    </row>
    <row r="887" spans="12:14" x14ac:dyDescent="0.3">
      <c r="L887">
        <v>875</v>
      </c>
      <c r="M887">
        <v>0</v>
      </c>
      <c r="N887">
        <v>1.2035662866255016E-2</v>
      </c>
    </row>
    <row r="888" spans="12:14" x14ac:dyDescent="0.3">
      <c r="L888">
        <v>876</v>
      </c>
      <c r="M888">
        <v>0</v>
      </c>
      <c r="N888">
        <v>1.8332042110087089E-4</v>
      </c>
    </row>
    <row r="889" spans="12:14" x14ac:dyDescent="0.3">
      <c r="L889">
        <v>877</v>
      </c>
      <c r="M889">
        <v>0</v>
      </c>
      <c r="N889">
        <v>2.8261798678620277E-3</v>
      </c>
    </row>
    <row r="890" spans="12:14" x14ac:dyDescent="0.3">
      <c r="L890">
        <v>878</v>
      </c>
      <c r="M890">
        <v>0</v>
      </c>
      <c r="N890">
        <v>2.5423614748205401E-2</v>
      </c>
    </row>
    <row r="891" spans="12:14" x14ac:dyDescent="0.3">
      <c r="L891">
        <v>879</v>
      </c>
      <c r="M891">
        <v>1</v>
      </c>
      <c r="N891">
        <v>2.955389039993784E-3</v>
      </c>
    </row>
    <row r="892" spans="12:14" x14ac:dyDescent="0.3">
      <c r="L892">
        <v>880</v>
      </c>
      <c r="M892">
        <v>1</v>
      </c>
      <c r="N892">
        <v>6.571534964582855E-2</v>
      </c>
    </row>
    <row r="893" spans="12:14" x14ac:dyDescent="0.3">
      <c r="L893">
        <v>881</v>
      </c>
      <c r="M893">
        <v>0</v>
      </c>
      <c r="N893">
        <v>1.6659765223437069E-3</v>
      </c>
    </row>
    <row r="894" spans="12:14" x14ac:dyDescent="0.3">
      <c r="L894">
        <v>882</v>
      </c>
      <c r="M894">
        <v>0</v>
      </c>
      <c r="N894">
        <v>0.75549698789294673</v>
      </c>
    </row>
    <row r="895" spans="12:14" x14ac:dyDescent="0.3">
      <c r="L895">
        <v>883</v>
      </c>
      <c r="M895">
        <v>0</v>
      </c>
      <c r="N895">
        <v>5.3018327403830598E-4</v>
      </c>
    </row>
    <row r="896" spans="12:14" x14ac:dyDescent="0.3">
      <c r="L896">
        <v>884</v>
      </c>
      <c r="M896">
        <v>0</v>
      </c>
      <c r="N896">
        <v>0.45195683942059106</v>
      </c>
    </row>
    <row r="897" spans="12:14" x14ac:dyDescent="0.3">
      <c r="L897">
        <v>885</v>
      </c>
      <c r="M897">
        <v>0</v>
      </c>
      <c r="N897">
        <v>0.55408596502916496</v>
      </c>
    </row>
    <row r="898" spans="12:14" x14ac:dyDescent="0.3">
      <c r="L898">
        <v>886</v>
      </c>
      <c r="M898">
        <v>0</v>
      </c>
      <c r="N898">
        <v>3.1040717444560193E-3</v>
      </c>
    </row>
    <row r="899" spans="12:14" x14ac:dyDescent="0.3">
      <c r="L899">
        <v>887</v>
      </c>
      <c r="M899">
        <v>0</v>
      </c>
      <c r="N899">
        <v>1.6727483669088741E-2</v>
      </c>
    </row>
    <row r="900" spans="12:14" x14ac:dyDescent="0.3">
      <c r="L900">
        <v>888</v>
      </c>
      <c r="M900">
        <v>1</v>
      </c>
      <c r="N900">
        <v>0.31672429551192399</v>
      </c>
    </row>
    <row r="901" spans="12:14" x14ac:dyDescent="0.3">
      <c r="L901">
        <v>889</v>
      </c>
      <c r="M901">
        <v>1</v>
      </c>
      <c r="N901">
        <v>3.0107147945040275E-4</v>
      </c>
    </row>
    <row r="902" spans="12:14" x14ac:dyDescent="0.3">
      <c r="L902">
        <v>890</v>
      </c>
      <c r="M902">
        <v>0</v>
      </c>
      <c r="N902">
        <v>0.74712444394530231</v>
      </c>
    </row>
    <row r="903" spans="12:14" x14ac:dyDescent="0.3">
      <c r="L903">
        <v>891</v>
      </c>
      <c r="M903">
        <v>0</v>
      </c>
      <c r="N903">
        <v>3.2684759213895854E-4</v>
      </c>
    </row>
    <row r="904" spans="12:14" x14ac:dyDescent="0.3">
      <c r="L904">
        <v>892</v>
      </c>
      <c r="M904">
        <v>0</v>
      </c>
      <c r="N904">
        <v>5.6161586987692171E-2</v>
      </c>
    </row>
    <row r="905" spans="12:14" x14ac:dyDescent="0.3">
      <c r="L905">
        <v>893</v>
      </c>
      <c r="M905">
        <v>0</v>
      </c>
      <c r="N905">
        <v>3.8470945352773798E-3</v>
      </c>
    </row>
    <row r="906" spans="12:14" x14ac:dyDescent="0.3">
      <c r="L906">
        <v>894</v>
      </c>
      <c r="M906">
        <v>1</v>
      </c>
      <c r="N906">
        <v>1.5746480259458723E-3</v>
      </c>
    </row>
    <row r="907" spans="12:14" x14ac:dyDescent="0.3">
      <c r="L907">
        <v>895</v>
      </c>
      <c r="M907">
        <v>0</v>
      </c>
      <c r="N907">
        <v>0.98405977045246962</v>
      </c>
    </row>
    <row r="908" spans="12:14" x14ac:dyDescent="0.3">
      <c r="L908">
        <v>896</v>
      </c>
      <c r="M908">
        <v>0</v>
      </c>
      <c r="N908">
        <v>1.2238280181357766E-2</v>
      </c>
    </row>
    <row r="909" spans="12:14" x14ac:dyDescent="0.3">
      <c r="L909">
        <v>897</v>
      </c>
      <c r="M909">
        <v>0</v>
      </c>
      <c r="N909">
        <v>1.3599992347989507E-3</v>
      </c>
    </row>
    <row r="910" spans="12:14" x14ac:dyDescent="0.3">
      <c r="L910">
        <v>898</v>
      </c>
      <c r="M910">
        <v>0</v>
      </c>
      <c r="N910">
        <v>0.98364538710146077</v>
      </c>
    </row>
    <row r="911" spans="12:14" x14ac:dyDescent="0.3">
      <c r="L911">
        <v>899</v>
      </c>
      <c r="M911">
        <v>0</v>
      </c>
      <c r="N911">
        <v>0.23046985948495197</v>
      </c>
    </row>
    <row r="912" spans="12:14" x14ac:dyDescent="0.3">
      <c r="L912">
        <v>900</v>
      </c>
      <c r="M912">
        <v>0</v>
      </c>
      <c r="N912">
        <v>0.13644797901647199</v>
      </c>
    </row>
    <row r="913" spans="12:14" x14ac:dyDescent="0.3">
      <c r="L913">
        <v>901</v>
      </c>
      <c r="M913">
        <v>0</v>
      </c>
      <c r="N913">
        <v>8.5505751418869986E-5</v>
      </c>
    </row>
    <row r="914" spans="12:14" x14ac:dyDescent="0.3">
      <c r="L914">
        <v>902</v>
      </c>
      <c r="M914">
        <v>0</v>
      </c>
      <c r="N914">
        <v>3.6580966477907668E-3</v>
      </c>
    </row>
    <row r="915" spans="12:14" x14ac:dyDescent="0.3">
      <c r="L915">
        <v>903</v>
      </c>
      <c r="M915">
        <v>0</v>
      </c>
      <c r="N915">
        <v>1.228049661125755E-3</v>
      </c>
    </row>
    <row r="916" spans="12:14" x14ac:dyDescent="0.3">
      <c r="L916">
        <v>904</v>
      </c>
      <c r="M916">
        <v>0</v>
      </c>
      <c r="N916">
        <v>0.10927300086440526</v>
      </c>
    </row>
    <row r="917" spans="12:14" x14ac:dyDescent="0.3">
      <c r="L917">
        <v>905</v>
      </c>
      <c r="M917">
        <v>0</v>
      </c>
      <c r="N917">
        <v>4.339675974880744E-2</v>
      </c>
    </row>
    <row r="918" spans="12:14" x14ac:dyDescent="0.3">
      <c r="L918">
        <v>906</v>
      </c>
      <c r="M918">
        <v>0</v>
      </c>
      <c r="N918">
        <v>1.1984078353150192E-4</v>
      </c>
    </row>
    <row r="919" spans="12:14" x14ac:dyDescent="0.3">
      <c r="L919">
        <v>907</v>
      </c>
      <c r="M919">
        <v>0</v>
      </c>
      <c r="N919">
        <v>0.59575590177233384</v>
      </c>
    </row>
    <row r="920" spans="12:14" x14ac:dyDescent="0.3">
      <c r="L920">
        <v>908</v>
      </c>
      <c r="M920">
        <v>0</v>
      </c>
      <c r="N920">
        <v>6.3317815443976536E-3</v>
      </c>
    </row>
    <row r="921" spans="12:14" x14ac:dyDescent="0.3">
      <c r="L921">
        <v>909</v>
      </c>
      <c r="M921">
        <v>0</v>
      </c>
      <c r="N921">
        <v>4.8558065778223037E-3</v>
      </c>
    </row>
    <row r="922" spans="12:14" x14ac:dyDescent="0.3">
      <c r="L922">
        <v>910</v>
      </c>
      <c r="M922">
        <v>0</v>
      </c>
      <c r="N922">
        <v>0.67054293164765333</v>
      </c>
    </row>
    <row r="923" spans="12:14" x14ac:dyDescent="0.3">
      <c r="L923">
        <v>911</v>
      </c>
      <c r="M923">
        <v>0</v>
      </c>
      <c r="N923">
        <v>2.2026001592152858E-2</v>
      </c>
    </row>
    <row r="924" spans="12:14" x14ac:dyDescent="0.3">
      <c r="L924">
        <v>912</v>
      </c>
      <c r="M924">
        <v>1</v>
      </c>
      <c r="N924">
        <v>0.45057682061146997</v>
      </c>
    </row>
    <row r="925" spans="12:14" x14ac:dyDescent="0.3">
      <c r="L925">
        <v>913</v>
      </c>
      <c r="M925">
        <v>0</v>
      </c>
      <c r="N925">
        <v>1.9551905527445451E-4</v>
      </c>
    </row>
    <row r="926" spans="12:14" x14ac:dyDescent="0.3">
      <c r="L926">
        <v>914</v>
      </c>
      <c r="M926">
        <v>1</v>
      </c>
      <c r="N926">
        <v>2.3184014849669567E-2</v>
      </c>
    </row>
    <row r="927" spans="12:14" x14ac:dyDescent="0.3">
      <c r="L927">
        <v>915</v>
      </c>
      <c r="M927">
        <v>0</v>
      </c>
      <c r="N927">
        <v>4.8133877374325061E-4</v>
      </c>
    </row>
    <row r="928" spans="12:14" x14ac:dyDescent="0.3">
      <c r="L928">
        <v>916</v>
      </c>
      <c r="M928">
        <v>0</v>
      </c>
      <c r="N928">
        <v>3.8412936097226776E-5</v>
      </c>
    </row>
    <row r="929" spans="12:14" x14ac:dyDescent="0.3">
      <c r="L929">
        <v>917</v>
      </c>
      <c r="M929">
        <v>0</v>
      </c>
      <c r="N929">
        <v>1.1228318358340855E-2</v>
      </c>
    </row>
    <row r="930" spans="12:14" x14ac:dyDescent="0.3">
      <c r="L930">
        <v>918</v>
      </c>
      <c r="M930">
        <v>0</v>
      </c>
      <c r="N930">
        <v>4.0072616639693359E-2</v>
      </c>
    </row>
    <row r="931" spans="12:14" x14ac:dyDescent="0.3">
      <c r="L931">
        <v>919</v>
      </c>
      <c r="M931">
        <v>1</v>
      </c>
      <c r="N931">
        <v>4.1195689994181946E-3</v>
      </c>
    </row>
    <row r="932" spans="12:14" x14ac:dyDescent="0.3">
      <c r="L932">
        <v>920</v>
      </c>
      <c r="M932">
        <v>0</v>
      </c>
      <c r="N932">
        <v>5.8834498602408775E-3</v>
      </c>
    </row>
    <row r="933" spans="12:14" x14ac:dyDescent="0.3">
      <c r="L933">
        <v>921</v>
      </c>
      <c r="M933">
        <v>0</v>
      </c>
      <c r="N933">
        <v>4.2120094714412542E-3</v>
      </c>
    </row>
    <row r="934" spans="12:14" x14ac:dyDescent="0.3">
      <c r="L934">
        <v>922</v>
      </c>
      <c r="M934">
        <v>0</v>
      </c>
      <c r="N934">
        <v>9.1744692148705163E-4</v>
      </c>
    </row>
    <row r="935" spans="12:14" x14ac:dyDescent="0.3">
      <c r="L935">
        <v>923</v>
      </c>
      <c r="M935">
        <v>1</v>
      </c>
      <c r="N935">
        <v>0.12591775959793106</v>
      </c>
    </row>
    <row r="936" spans="12:14" x14ac:dyDescent="0.3">
      <c r="L936">
        <v>924</v>
      </c>
      <c r="M936">
        <v>1</v>
      </c>
      <c r="N936">
        <v>7.9700851294257271E-3</v>
      </c>
    </row>
    <row r="937" spans="12:14" x14ac:dyDescent="0.3">
      <c r="L937">
        <v>925</v>
      </c>
      <c r="M937">
        <v>0</v>
      </c>
      <c r="N937">
        <v>0.44240529726238559</v>
      </c>
    </row>
    <row r="938" spans="12:14" x14ac:dyDescent="0.3">
      <c r="L938">
        <v>926</v>
      </c>
      <c r="M938">
        <v>0</v>
      </c>
      <c r="N938">
        <v>5.5602235260482753E-5</v>
      </c>
    </row>
    <row r="939" spans="12:14" x14ac:dyDescent="0.3">
      <c r="L939">
        <v>927</v>
      </c>
      <c r="M939">
        <v>0</v>
      </c>
      <c r="N939">
        <v>6.9245170248956017E-2</v>
      </c>
    </row>
    <row r="940" spans="12:14" x14ac:dyDescent="0.3">
      <c r="L940">
        <v>928</v>
      </c>
      <c r="M940">
        <v>0</v>
      </c>
      <c r="N940">
        <v>1.0377274168934142E-2</v>
      </c>
    </row>
    <row r="941" spans="12:14" x14ac:dyDescent="0.3">
      <c r="L941">
        <v>929</v>
      </c>
      <c r="M941">
        <v>0</v>
      </c>
      <c r="N941">
        <v>0.99997512605732253</v>
      </c>
    </row>
    <row r="942" spans="12:14" x14ac:dyDescent="0.3">
      <c r="L942">
        <v>930</v>
      </c>
      <c r="M942">
        <v>0</v>
      </c>
      <c r="N942">
        <v>9.7234651761076097E-5</v>
      </c>
    </row>
    <row r="943" spans="12:14" x14ac:dyDescent="0.3">
      <c r="L943">
        <v>931</v>
      </c>
      <c r="M943">
        <v>1</v>
      </c>
      <c r="N943">
        <v>0.33114723531050527</v>
      </c>
    </row>
    <row r="944" spans="12:14" x14ac:dyDescent="0.3">
      <c r="L944">
        <v>932</v>
      </c>
      <c r="M944">
        <v>1</v>
      </c>
      <c r="N944">
        <v>1.5828419340808457E-4</v>
      </c>
    </row>
    <row r="945" spans="12:14" x14ac:dyDescent="0.3">
      <c r="L945">
        <v>933</v>
      </c>
      <c r="M945">
        <v>0</v>
      </c>
      <c r="N945">
        <v>6.1930908859699515E-4</v>
      </c>
    </row>
    <row r="946" spans="12:14" x14ac:dyDescent="0.3">
      <c r="L946">
        <v>934</v>
      </c>
      <c r="M946">
        <v>0</v>
      </c>
      <c r="N946">
        <v>5.3935583289918317E-3</v>
      </c>
    </row>
    <row r="947" spans="12:14" x14ac:dyDescent="0.3">
      <c r="L947">
        <v>935</v>
      </c>
      <c r="M947">
        <v>0</v>
      </c>
      <c r="N947">
        <v>7.480576875055818E-2</v>
      </c>
    </row>
    <row r="948" spans="12:14" x14ac:dyDescent="0.3">
      <c r="L948">
        <v>936</v>
      </c>
      <c r="M948">
        <v>0</v>
      </c>
      <c r="N948">
        <v>3.629199550948364E-4</v>
      </c>
    </row>
    <row r="949" spans="12:14" x14ac:dyDescent="0.3">
      <c r="L949">
        <v>937</v>
      </c>
      <c r="M949">
        <v>0</v>
      </c>
      <c r="N949">
        <v>3.6069082616465801E-3</v>
      </c>
    </row>
    <row r="950" spans="12:14" x14ac:dyDescent="0.3">
      <c r="L950">
        <v>938</v>
      </c>
      <c r="M950">
        <v>0</v>
      </c>
      <c r="N950">
        <v>9.8048586635923274E-4</v>
      </c>
    </row>
    <row r="951" spans="12:14" x14ac:dyDescent="0.3">
      <c r="L951">
        <v>939</v>
      </c>
      <c r="M951">
        <v>0</v>
      </c>
      <c r="N951">
        <v>9.507258333400383E-3</v>
      </c>
    </row>
    <row r="952" spans="12:14" x14ac:dyDescent="0.3">
      <c r="L952">
        <v>940</v>
      </c>
      <c r="M952">
        <v>0</v>
      </c>
      <c r="N952">
        <v>0.30978506484486268</v>
      </c>
    </row>
    <row r="953" spans="12:14" x14ac:dyDescent="0.3">
      <c r="L953">
        <v>941</v>
      </c>
      <c r="M953">
        <v>0</v>
      </c>
      <c r="N953">
        <v>2.5364859347877383E-2</v>
      </c>
    </row>
    <row r="954" spans="12:14" x14ac:dyDescent="0.3">
      <c r="L954">
        <v>942</v>
      </c>
      <c r="M954">
        <v>0</v>
      </c>
      <c r="N954">
        <v>1.829365181625562E-2</v>
      </c>
    </row>
    <row r="955" spans="12:14" x14ac:dyDescent="0.3">
      <c r="L955">
        <v>943</v>
      </c>
      <c r="M955">
        <v>0</v>
      </c>
      <c r="N955">
        <v>3.6983755735097058E-4</v>
      </c>
    </row>
    <row r="956" spans="12:14" x14ac:dyDescent="0.3">
      <c r="L956">
        <v>944</v>
      </c>
      <c r="M956">
        <v>0</v>
      </c>
      <c r="N956">
        <v>0.99985755353074768</v>
      </c>
    </row>
    <row r="957" spans="12:14" x14ac:dyDescent="0.3">
      <c r="L957">
        <v>945</v>
      </c>
      <c r="M957">
        <v>0</v>
      </c>
      <c r="N957">
        <v>0.73215346740696452</v>
      </c>
    </row>
    <row r="958" spans="12:14" x14ac:dyDescent="0.3">
      <c r="L958">
        <v>946</v>
      </c>
      <c r="M958">
        <v>0</v>
      </c>
      <c r="N958">
        <v>1.6873068731913891E-4</v>
      </c>
    </row>
    <row r="959" spans="12:14" x14ac:dyDescent="0.3">
      <c r="L959">
        <v>947</v>
      </c>
      <c r="M959">
        <v>0</v>
      </c>
      <c r="N959">
        <v>0.20235647783569138</v>
      </c>
    </row>
    <row r="960" spans="12:14" x14ac:dyDescent="0.3">
      <c r="L960">
        <v>948</v>
      </c>
      <c r="M960">
        <v>0</v>
      </c>
      <c r="N960">
        <v>1.4534815907676774E-3</v>
      </c>
    </row>
    <row r="961" spans="12:14" x14ac:dyDescent="0.3">
      <c r="L961">
        <v>949</v>
      </c>
      <c r="M961">
        <v>0</v>
      </c>
      <c r="N961">
        <v>7.3105758119271051E-4</v>
      </c>
    </row>
    <row r="962" spans="12:14" x14ac:dyDescent="0.3">
      <c r="L962">
        <v>950</v>
      </c>
      <c r="M962">
        <v>0</v>
      </c>
      <c r="N962">
        <v>7.6896415534687904E-4</v>
      </c>
    </row>
    <row r="963" spans="12:14" x14ac:dyDescent="0.3">
      <c r="L963">
        <v>951</v>
      </c>
      <c r="M963">
        <v>1</v>
      </c>
      <c r="N963">
        <v>1.2856767453206862E-3</v>
      </c>
    </row>
    <row r="964" spans="12:14" x14ac:dyDescent="0.3">
      <c r="L964">
        <v>952</v>
      </c>
      <c r="M964">
        <v>0</v>
      </c>
      <c r="N964">
        <v>1.18558646964485E-2</v>
      </c>
    </row>
    <row r="965" spans="12:14" x14ac:dyDescent="0.3">
      <c r="L965">
        <v>953</v>
      </c>
      <c r="M965">
        <v>0</v>
      </c>
      <c r="N965">
        <v>0.25230528934182378</v>
      </c>
    </row>
    <row r="966" spans="12:14" x14ac:dyDescent="0.3">
      <c r="L966">
        <v>954</v>
      </c>
      <c r="M966">
        <v>1</v>
      </c>
      <c r="N966">
        <v>1.5624806361010225E-2</v>
      </c>
    </row>
    <row r="967" spans="12:14" x14ac:dyDescent="0.3">
      <c r="L967">
        <v>955</v>
      </c>
      <c r="M967">
        <v>1</v>
      </c>
      <c r="N967">
        <v>1.4625142383283295E-2</v>
      </c>
    </row>
    <row r="968" spans="12:14" x14ac:dyDescent="0.3">
      <c r="L968">
        <v>956</v>
      </c>
      <c r="M968">
        <v>0</v>
      </c>
      <c r="N968">
        <v>1.902936143119968E-3</v>
      </c>
    </row>
    <row r="969" spans="12:14" x14ac:dyDescent="0.3">
      <c r="L969">
        <v>957</v>
      </c>
      <c r="M969">
        <v>0</v>
      </c>
      <c r="N969">
        <v>1.2242654141458255E-2</v>
      </c>
    </row>
    <row r="970" spans="12:14" x14ac:dyDescent="0.3">
      <c r="L970">
        <v>958</v>
      </c>
      <c r="M970">
        <v>0</v>
      </c>
      <c r="N970">
        <v>0.33973678562109005</v>
      </c>
    </row>
    <row r="971" spans="12:14" x14ac:dyDescent="0.3">
      <c r="L971">
        <v>959</v>
      </c>
      <c r="M971">
        <v>0</v>
      </c>
      <c r="N971">
        <v>0.30004119283899749</v>
      </c>
    </row>
    <row r="972" spans="12:14" x14ac:dyDescent="0.3">
      <c r="L972">
        <v>960</v>
      </c>
      <c r="M972">
        <v>0</v>
      </c>
      <c r="N972">
        <v>0.82135985691517821</v>
      </c>
    </row>
    <row r="973" spans="12:14" x14ac:dyDescent="0.3">
      <c r="L973">
        <v>961</v>
      </c>
      <c r="M973">
        <v>0</v>
      </c>
      <c r="N973">
        <v>3.7944528083738379E-4</v>
      </c>
    </row>
    <row r="974" spans="12:14" x14ac:dyDescent="0.3">
      <c r="L974">
        <v>962</v>
      </c>
      <c r="M974">
        <v>0</v>
      </c>
      <c r="N974">
        <v>4.8191926414006278E-3</v>
      </c>
    </row>
    <row r="975" spans="12:14" x14ac:dyDescent="0.3">
      <c r="L975">
        <v>963</v>
      </c>
      <c r="M975">
        <v>0</v>
      </c>
      <c r="N975">
        <v>2.330218054685922E-2</v>
      </c>
    </row>
    <row r="976" spans="12:14" x14ac:dyDescent="0.3">
      <c r="L976">
        <v>964</v>
      </c>
      <c r="M976">
        <v>0</v>
      </c>
      <c r="N976">
        <v>2.8817728765268089E-4</v>
      </c>
    </row>
    <row r="977" spans="12:14" x14ac:dyDescent="0.3">
      <c r="L977">
        <v>965</v>
      </c>
      <c r="M977">
        <v>0</v>
      </c>
      <c r="N977">
        <v>5.8677887417025001E-4</v>
      </c>
    </row>
    <row r="978" spans="12:14" x14ac:dyDescent="0.3">
      <c r="L978">
        <v>966</v>
      </c>
      <c r="M978">
        <v>0</v>
      </c>
      <c r="N978">
        <v>0.88545301239765528</v>
      </c>
    </row>
    <row r="979" spans="12:14" x14ac:dyDescent="0.3">
      <c r="L979">
        <v>967</v>
      </c>
      <c r="M979">
        <v>0</v>
      </c>
      <c r="N979">
        <v>0.38788599850323791</v>
      </c>
    </row>
    <row r="980" spans="12:14" x14ac:dyDescent="0.3">
      <c r="L980">
        <v>968</v>
      </c>
      <c r="M980">
        <v>0</v>
      </c>
      <c r="N980">
        <v>0.86024130238490304</v>
      </c>
    </row>
    <row r="981" spans="12:14" x14ac:dyDescent="0.3">
      <c r="L981">
        <v>969</v>
      </c>
      <c r="M981">
        <v>0</v>
      </c>
      <c r="N981">
        <v>0.97417858393499968</v>
      </c>
    </row>
    <row r="982" spans="12:14" x14ac:dyDescent="0.3">
      <c r="L982">
        <v>970</v>
      </c>
      <c r="M982">
        <v>1</v>
      </c>
      <c r="N982">
        <v>0.18599168533689583</v>
      </c>
    </row>
    <row r="983" spans="12:14" x14ac:dyDescent="0.3">
      <c r="L983">
        <v>971</v>
      </c>
      <c r="M983">
        <v>1</v>
      </c>
      <c r="N983">
        <v>6.5471136266491252E-4</v>
      </c>
    </row>
    <row r="984" spans="12:14" x14ac:dyDescent="0.3">
      <c r="L984">
        <v>972</v>
      </c>
      <c r="M984">
        <v>0</v>
      </c>
      <c r="N984">
        <v>1.5276693585929233E-3</v>
      </c>
    </row>
    <row r="985" spans="12:14" x14ac:dyDescent="0.3">
      <c r="L985">
        <v>973</v>
      </c>
      <c r="M985">
        <v>0</v>
      </c>
      <c r="N985">
        <v>2.3236169720266067E-2</v>
      </c>
    </row>
    <row r="986" spans="12:14" x14ac:dyDescent="0.3">
      <c r="L986">
        <v>974</v>
      </c>
      <c r="M986">
        <v>1</v>
      </c>
      <c r="N986">
        <v>4.8784098412900196E-3</v>
      </c>
    </row>
    <row r="987" spans="12:14" x14ac:dyDescent="0.3">
      <c r="L987">
        <v>975</v>
      </c>
      <c r="M987">
        <v>0</v>
      </c>
      <c r="N987">
        <v>3.5237946136609656E-3</v>
      </c>
    </row>
    <row r="988" spans="12:14" x14ac:dyDescent="0.3">
      <c r="L988">
        <v>976</v>
      </c>
      <c r="M988">
        <v>0</v>
      </c>
      <c r="N988">
        <v>1.4742220942051453E-3</v>
      </c>
    </row>
    <row r="989" spans="12:14" x14ac:dyDescent="0.3">
      <c r="L989">
        <v>977</v>
      </c>
      <c r="M989">
        <v>0</v>
      </c>
      <c r="N989">
        <v>0.3087999720307123</v>
      </c>
    </row>
    <row r="990" spans="12:14" x14ac:dyDescent="0.3">
      <c r="L990">
        <v>978</v>
      </c>
      <c r="M990">
        <v>0</v>
      </c>
      <c r="N990">
        <v>2.0577643681149874E-3</v>
      </c>
    </row>
    <row r="991" spans="12:14" x14ac:dyDescent="0.3">
      <c r="L991">
        <v>979</v>
      </c>
      <c r="M991">
        <v>0</v>
      </c>
      <c r="N991">
        <v>2.4303773894733088E-4</v>
      </c>
    </row>
    <row r="992" spans="12:14" x14ac:dyDescent="0.3">
      <c r="L992">
        <v>980</v>
      </c>
      <c r="M992">
        <v>0</v>
      </c>
      <c r="N992">
        <v>4.8757662816714526E-5</v>
      </c>
    </row>
    <row r="993" spans="12:14" x14ac:dyDescent="0.3">
      <c r="L993">
        <v>981</v>
      </c>
      <c r="M993">
        <v>0</v>
      </c>
      <c r="N993">
        <v>6.3378612100274375E-4</v>
      </c>
    </row>
    <row r="994" spans="12:14" x14ac:dyDescent="0.3">
      <c r="L994">
        <v>982</v>
      </c>
      <c r="M994">
        <v>0</v>
      </c>
      <c r="N994">
        <v>5.0513188766507778E-5</v>
      </c>
    </row>
    <row r="995" spans="12:14" x14ac:dyDescent="0.3">
      <c r="L995">
        <v>983</v>
      </c>
      <c r="M995">
        <v>0</v>
      </c>
      <c r="N995">
        <v>0.573829032738989</v>
      </c>
    </row>
    <row r="996" spans="12:14" x14ac:dyDescent="0.3">
      <c r="L996">
        <v>984</v>
      </c>
      <c r="M996">
        <v>0</v>
      </c>
      <c r="N996">
        <v>0.11935098227243303</v>
      </c>
    </row>
    <row r="997" spans="12:14" x14ac:dyDescent="0.3">
      <c r="L997">
        <v>985</v>
      </c>
      <c r="M997">
        <v>0</v>
      </c>
      <c r="N997">
        <v>1.0962583306962533E-2</v>
      </c>
    </row>
    <row r="998" spans="12:14" x14ac:dyDescent="0.3">
      <c r="L998">
        <v>986</v>
      </c>
      <c r="M998">
        <v>0</v>
      </c>
      <c r="N998">
        <v>2.3018208573398402E-3</v>
      </c>
    </row>
    <row r="999" spans="12:14" x14ac:dyDescent="0.3">
      <c r="L999">
        <v>987</v>
      </c>
      <c r="M999">
        <v>0</v>
      </c>
      <c r="N999">
        <v>2.3033956679336773E-3</v>
      </c>
    </row>
    <row r="1000" spans="12:14" x14ac:dyDescent="0.3">
      <c r="L1000">
        <v>988</v>
      </c>
      <c r="M1000">
        <v>0</v>
      </c>
      <c r="N1000">
        <v>2.0445376891346904E-2</v>
      </c>
    </row>
    <row r="1001" spans="12:14" x14ac:dyDescent="0.3">
      <c r="L1001">
        <v>989</v>
      </c>
      <c r="M1001">
        <v>0</v>
      </c>
      <c r="N1001">
        <v>0.27513771670822174</v>
      </c>
    </row>
    <row r="1002" spans="12:14" x14ac:dyDescent="0.3">
      <c r="L1002">
        <v>990</v>
      </c>
      <c r="M1002">
        <v>0</v>
      </c>
      <c r="N1002">
        <v>1.8654993670727254E-3</v>
      </c>
    </row>
    <row r="1003" spans="12:14" x14ac:dyDescent="0.3">
      <c r="L1003">
        <v>991</v>
      </c>
      <c r="M1003">
        <v>0</v>
      </c>
      <c r="N1003">
        <v>0.16010019470668282</v>
      </c>
    </row>
    <row r="1004" spans="12:14" x14ac:dyDescent="0.3">
      <c r="L1004">
        <v>992</v>
      </c>
      <c r="M1004">
        <v>0</v>
      </c>
      <c r="N1004">
        <v>3.2397200910887269E-2</v>
      </c>
    </row>
    <row r="1005" spans="12:14" x14ac:dyDescent="0.3">
      <c r="L1005">
        <v>993</v>
      </c>
      <c r="M1005">
        <v>1</v>
      </c>
      <c r="N1005">
        <v>0.17635152073077939</v>
      </c>
    </row>
    <row r="1006" spans="12:14" x14ac:dyDescent="0.3">
      <c r="L1006">
        <v>994</v>
      </c>
      <c r="M1006">
        <v>0</v>
      </c>
      <c r="N1006">
        <v>1.7880101023231212E-4</v>
      </c>
    </row>
    <row r="1007" spans="12:14" x14ac:dyDescent="0.3">
      <c r="L1007">
        <v>995</v>
      </c>
      <c r="M1007">
        <v>0</v>
      </c>
      <c r="N1007">
        <v>8.82364507850141E-3</v>
      </c>
    </row>
    <row r="1008" spans="12:14" x14ac:dyDescent="0.3">
      <c r="L1008">
        <v>996</v>
      </c>
      <c r="M1008">
        <v>0</v>
      </c>
      <c r="N1008">
        <v>4.500206660947252E-4</v>
      </c>
    </row>
    <row r="1009" spans="12:14" x14ac:dyDescent="0.3">
      <c r="L1009">
        <v>997</v>
      </c>
      <c r="M1009">
        <v>0</v>
      </c>
      <c r="N1009">
        <v>1.8270942783127807E-2</v>
      </c>
    </row>
    <row r="1010" spans="12:14" x14ac:dyDescent="0.3">
      <c r="L1010">
        <v>998</v>
      </c>
      <c r="M1010">
        <v>1</v>
      </c>
      <c r="N1010">
        <v>5.9999780379943544E-4</v>
      </c>
    </row>
    <row r="1011" spans="12:14" x14ac:dyDescent="0.3">
      <c r="L1011">
        <v>999</v>
      </c>
      <c r="M1011">
        <v>1</v>
      </c>
      <c r="N1011">
        <v>0.27988784376357967</v>
      </c>
    </row>
    <row r="1012" spans="12:14" x14ac:dyDescent="0.3">
      <c r="L1012">
        <v>1000</v>
      </c>
      <c r="M1012">
        <v>0</v>
      </c>
      <c r="N1012">
        <v>0.93884767460997332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04B6-5D67-4C2D-B6D9-A81272DC6E78}">
  <sheetPr codeName="Sheet5"/>
  <dimension ref="A1:Y21"/>
  <sheetViews>
    <sheetView workbookViewId="0">
      <selection activeCell="N4" sqref="N4:Q6"/>
    </sheetView>
  </sheetViews>
  <sheetFormatPr defaultRowHeight="14.4" x14ac:dyDescent="0.3"/>
  <sheetData>
    <row r="1" spans="1:25" x14ac:dyDescent="0.3">
      <c r="A1" t="s">
        <v>29</v>
      </c>
      <c r="B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25" x14ac:dyDescent="0.3">
      <c r="A2">
        <v>0.83333333333333304</v>
      </c>
      <c r="B2">
        <v>0.37904902178945199</v>
      </c>
      <c r="E2">
        <f>soc!C5</f>
        <v>1</v>
      </c>
      <c r="G2">
        <f>(E2-A2)/B2</f>
        <v>0.4396968652757644</v>
      </c>
      <c r="H2">
        <v>0.26130300000000001</v>
      </c>
      <c r="I2">
        <v>4.2397299999999997E-3</v>
      </c>
      <c r="J2" cm="1">
        <f t="array" aca="1" ref="J2" ca="1">SUM(G2:G21*H2:H21)</f>
        <v>0.53900377753653606</v>
      </c>
      <c r="K2" cm="1">
        <f t="array" aca="1" ref="K2" ca="1">SUM(G2:G21*I2:I21)</f>
        <v>-0.23251634293209969</v>
      </c>
    </row>
    <row r="3" spans="1:25" x14ac:dyDescent="0.3">
      <c r="A3">
        <v>1.6</v>
      </c>
      <c r="B3">
        <v>0.49827287912244</v>
      </c>
      <c r="E3">
        <f>soc!C6</f>
        <v>2</v>
      </c>
      <c r="G3">
        <f t="shared" ref="G3:G15" si="0">(E3-A3)/B3</f>
        <v>0.80277297191948593</v>
      </c>
      <c r="H3">
        <v>0.19178500000000001</v>
      </c>
      <c r="I3">
        <v>5.36658E-2</v>
      </c>
      <c r="V3" t="s">
        <v>40</v>
      </c>
    </row>
    <row r="4" spans="1:25" x14ac:dyDescent="0.3">
      <c r="A4">
        <v>2.3333333333333299</v>
      </c>
      <c r="B4">
        <v>0.66089455225126703</v>
      </c>
      <c r="E4">
        <f>soc!C7</f>
        <v>2</v>
      </c>
      <c r="G4">
        <f t="shared" si="0"/>
        <v>-0.50436689513911914</v>
      </c>
      <c r="H4">
        <v>1.65054E-2</v>
      </c>
      <c r="I4">
        <v>-0.156888</v>
      </c>
      <c r="M4" t="s">
        <v>36</v>
      </c>
      <c r="N4">
        <v>-1.06858775606464</v>
      </c>
      <c r="O4">
        <v>-1.6251345178818</v>
      </c>
      <c r="P4">
        <v>12.1138366264464</v>
      </c>
      <c r="Q4">
        <v>-0.39794000867203799</v>
      </c>
      <c r="S4" t="s">
        <v>37</v>
      </c>
      <c r="U4">
        <f ca="1">N4+$J$2*O4+$K$2*P4+Q4</f>
        <v>-5.1591464001382263</v>
      </c>
      <c r="V4">
        <f ca="1">IFERROR(EXP(U4)/(EXP($U$4)+EXP($U$5)+EXP($U$6)),0)</f>
        <v>1.9552246767353833E-4</v>
      </c>
      <c r="X4" t="s">
        <v>82</v>
      </c>
      <c r="Y4">
        <f ca="1">V4+V6</f>
        <v>1.9552246771220667E-4</v>
      </c>
    </row>
    <row r="5" spans="1:25" x14ac:dyDescent="0.3">
      <c r="A5">
        <v>0.86666666666666703</v>
      </c>
      <c r="B5">
        <v>0.345745903641761</v>
      </c>
      <c r="E5">
        <f>soc!C8</f>
        <v>1</v>
      </c>
      <c r="G5">
        <f t="shared" si="0"/>
        <v>0.3856396617542695</v>
      </c>
      <c r="H5">
        <v>-7.17917E-2</v>
      </c>
      <c r="I5">
        <v>-1.22554E-2</v>
      </c>
      <c r="N5">
        <v>-1.3289912312904399</v>
      </c>
      <c r="O5">
        <v>6.1822159781730299</v>
      </c>
      <c r="P5">
        <v>-7.21788739349123</v>
      </c>
      <c r="Q5">
        <v>-0.30102999566398098</v>
      </c>
      <c r="S5" t="s">
        <v>38</v>
      </c>
      <c r="U5">
        <f ca="1">N5+$J$2*O5+$K$2*P5+Q5</f>
        <v>3.3804933192578597</v>
      </c>
      <c r="V5">
        <f ca="1">IFERROR(EXP(U5)/(EXP($U$4)+EXP($U$5)+EXP($U$6)),1)</f>
        <v>0.99980447753228774</v>
      </c>
    </row>
    <row r="6" spans="1:25" x14ac:dyDescent="0.3">
      <c r="A6">
        <v>24.3885698666667</v>
      </c>
      <c r="B6">
        <v>53.326371321632898</v>
      </c>
      <c r="C6">
        <f ca="1">soc!F9</f>
        <v>4.1935118157750724</v>
      </c>
      <c r="D6">
        <f ca="1">IF(C6&lt;0,0,C6)</f>
        <v>4.1935118157750724</v>
      </c>
      <c r="E6">
        <f ca="1">D6</f>
        <v>4.1935118157750724</v>
      </c>
      <c r="G6">
        <f t="shared" ca="1" si="0"/>
        <v>-0.37870677397280739</v>
      </c>
      <c r="H6">
        <v>5.92559E-2</v>
      </c>
      <c r="I6">
        <v>2.7191699999999999E-2</v>
      </c>
      <c r="N6">
        <v>-16.2209842483974</v>
      </c>
      <c r="O6">
        <v>-24.4105143372295</v>
      </c>
      <c r="P6">
        <v>-12.3659144234203</v>
      </c>
      <c r="Q6">
        <v>-1</v>
      </c>
      <c r="S6" t="s">
        <v>39</v>
      </c>
      <c r="U6">
        <f t="shared" ref="U6" ca="1" si="1">N6+$J$2*O6+$K$2*P6+Q6</f>
        <v>-27.503066489028882</v>
      </c>
      <c r="V6">
        <f ca="1">IFERROR(EXP(U6)/(EXP($U$4)+EXP($U$5)+EXP($U$6)),0)</f>
        <v>3.8668334883222728E-14</v>
      </c>
    </row>
    <row r="7" spans="1:25" x14ac:dyDescent="0.3">
      <c r="A7">
        <v>32.968496666666702</v>
      </c>
      <c r="B7">
        <v>81.350684523832996</v>
      </c>
      <c r="C7">
        <f ca="1">soc!F10</f>
        <v>18.914965826320017</v>
      </c>
      <c r="D7">
        <f t="shared" ref="D7:D15" ca="1" si="2">IF(C7&lt;0,0,C7)</f>
        <v>18.914965826320017</v>
      </c>
      <c r="E7">
        <f t="shared" ref="E7:E15" ca="1" si="3">D7</f>
        <v>18.914965826320017</v>
      </c>
      <c r="G7">
        <f t="shared" ca="1" si="0"/>
        <v>-0.17275245958415356</v>
      </c>
      <c r="H7">
        <v>0.57440100000000005</v>
      </c>
      <c r="I7">
        <v>0.68201400000000001</v>
      </c>
    </row>
    <row r="8" spans="1:25" x14ac:dyDescent="0.3">
      <c r="A8">
        <v>13.605169</v>
      </c>
      <c r="B8">
        <v>33.9111605121292</v>
      </c>
      <c r="C8">
        <f ca="1">soc!F11</f>
        <v>8.6237679257890516</v>
      </c>
      <c r="D8">
        <f t="shared" ca="1" si="2"/>
        <v>8.6237679257890516</v>
      </c>
      <c r="E8">
        <f t="shared" ca="1" si="3"/>
        <v>8.6237679257890516</v>
      </c>
      <c r="G8">
        <f t="shared" ca="1" si="0"/>
        <v>-0.14689562371152773</v>
      </c>
      <c r="H8">
        <v>-0.22467699999999999</v>
      </c>
      <c r="I8">
        <v>-0.59403700000000004</v>
      </c>
      <c r="V8">
        <f ca="1">1-IF(V5&lt;0.5,0,1)</f>
        <v>0</v>
      </c>
    </row>
    <row r="9" spans="1:25" x14ac:dyDescent="0.3">
      <c r="A9">
        <v>9.3500309999999995</v>
      </c>
      <c r="B9">
        <v>5.9755971129917604</v>
      </c>
      <c r="C9">
        <f ca="1">soc!F12</f>
        <v>5.0281271207020612</v>
      </c>
      <c r="D9">
        <f t="shared" ca="1" si="2"/>
        <v>5.0281271207020612</v>
      </c>
      <c r="E9">
        <f t="shared" ca="1" si="3"/>
        <v>5.0281271207020612</v>
      </c>
      <c r="G9">
        <f t="shared" ca="1" si="0"/>
        <v>-0.72325891414291166</v>
      </c>
      <c r="H9">
        <v>-0.17277000000000001</v>
      </c>
      <c r="I9">
        <v>-2.9029500000000001E-3</v>
      </c>
    </row>
    <row r="10" spans="1:25" x14ac:dyDescent="0.3">
      <c r="A10">
        <v>113.933406666667</v>
      </c>
      <c r="B10">
        <v>261.68102341623398</v>
      </c>
      <c r="C10">
        <f ca="1">soc!F13</f>
        <v>18.137339392946942</v>
      </c>
      <c r="D10">
        <f t="shared" ca="1" si="2"/>
        <v>18.137339392946942</v>
      </c>
      <c r="E10">
        <f t="shared" ca="1" si="3"/>
        <v>18.137339392946942</v>
      </c>
      <c r="G10">
        <f t="shared" ca="1" si="0"/>
        <v>-0.36607953463001142</v>
      </c>
      <c r="H10">
        <v>-0.18307399999999999</v>
      </c>
      <c r="I10">
        <v>-1.41075E-2</v>
      </c>
    </row>
    <row r="11" spans="1:25" x14ac:dyDescent="0.3">
      <c r="A11">
        <v>13.587372666666701</v>
      </c>
      <c r="B11">
        <v>11.0760917732621</v>
      </c>
      <c r="C11">
        <f ca="1">soc!F14</f>
        <v>26.926473214342067</v>
      </c>
      <c r="D11">
        <f t="shared" ca="1" si="2"/>
        <v>26.926473214342067</v>
      </c>
      <c r="E11">
        <f t="shared" ca="1" si="3"/>
        <v>26.926473214342067</v>
      </c>
      <c r="G11">
        <f t="shared" ca="1" si="0"/>
        <v>1.2043147367085034</v>
      </c>
      <c r="H11">
        <v>-0.175954</v>
      </c>
      <c r="I11">
        <v>5.1702400000000003E-2</v>
      </c>
    </row>
    <row r="12" spans="1:25" x14ac:dyDescent="0.3">
      <c r="A12">
        <v>566.37876666666705</v>
      </c>
      <c r="B12">
        <v>396.90044890563598</v>
      </c>
      <c r="C12">
        <f ca="1">soc!F15</f>
        <v>-195.28117848523209</v>
      </c>
      <c r="D12">
        <f t="shared" ca="1" si="2"/>
        <v>0</v>
      </c>
      <c r="E12">
        <f t="shared" ca="1" si="3"/>
        <v>0</v>
      </c>
      <c r="G12">
        <f t="shared" ca="1" si="0"/>
        <v>-1.4270046008472137</v>
      </c>
      <c r="H12">
        <v>-0.435006</v>
      </c>
      <c r="I12">
        <v>-0.14266699999999999</v>
      </c>
    </row>
    <row r="13" spans="1:25" x14ac:dyDescent="0.3">
      <c r="A13">
        <v>355.76170000000002</v>
      </c>
      <c r="B13">
        <v>267.32251340541802</v>
      </c>
      <c r="C13">
        <f ca="1">soc!F16</f>
        <v>171.22265378152525</v>
      </c>
      <c r="D13">
        <f t="shared" ca="1" si="2"/>
        <v>171.22265378152525</v>
      </c>
      <c r="E13">
        <f t="shared" ca="1" si="3"/>
        <v>171.22265378152525</v>
      </c>
      <c r="G13">
        <f t="shared" ca="1" si="0"/>
        <v>-0.69032362395383107</v>
      </c>
      <c r="H13">
        <v>7.25546E-3</v>
      </c>
      <c r="I13">
        <v>7.3017200000000004E-2</v>
      </c>
    </row>
    <row r="14" spans="1:25" x14ac:dyDescent="0.3">
      <c r="A14">
        <v>88.888903333333303</v>
      </c>
      <c r="B14">
        <v>64.977514257527801</v>
      </c>
      <c r="C14">
        <f ca="1">soc!F17</f>
        <v>122.67293233394442</v>
      </c>
      <c r="D14">
        <f t="shared" ca="1" si="2"/>
        <v>122.67293233394442</v>
      </c>
      <c r="E14">
        <f t="shared" ca="1" si="3"/>
        <v>122.67293233394442</v>
      </c>
      <c r="G14">
        <f t="shared" ca="1" si="0"/>
        <v>0.51993415547898025</v>
      </c>
      <c r="H14">
        <v>0.34748699999999999</v>
      </c>
      <c r="I14">
        <v>4.2981100000000001E-2</v>
      </c>
    </row>
    <row r="15" spans="1:25" x14ac:dyDescent="0.3">
      <c r="A15">
        <v>185.50293666666701</v>
      </c>
      <c r="B15">
        <v>154.41064418387199</v>
      </c>
      <c r="C15">
        <f ca="1">soc!F18</f>
        <v>-44.528770101896839</v>
      </c>
      <c r="D15">
        <f t="shared" ca="1" si="2"/>
        <v>0</v>
      </c>
      <c r="E15">
        <f t="shared" ca="1" si="3"/>
        <v>0</v>
      </c>
      <c r="G15">
        <f t="shared" ca="1" si="0"/>
        <v>-1.2013610696796935</v>
      </c>
      <c r="H15">
        <v>-6.7256899999999994E-2</v>
      </c>
      <c r="I15">
        <v>-8.5277800000000001E-2</v>
      </c>
    </row>
    <row r="16" spans="1:25" x14ac:dyDescent="0.3">
      <c r="A16">
        <v>115.63312999999999</v>
      </c>
      <c r="B16">
        <v>153.417997295334</v>
      </c>
      <c r="C16">
        <f ca="1">soc!F19</f>
        <v>96.725960927713601</v>
      </c>
      <c r="D16">
        <f t="shared" ref="D16:D21" ca="1" si="4">IF(C16&lt;0,0,C16)</f>
        <v>96.725960927713601</v>
      </c>
      <c r="E16">
        <f t="shared" ref="E16:E21" ca="1" si="5">D16</f>
        <v>96.725960927713601</v>
      </c>
      <c r="G16">
        <f t="shared" ref="G16:G21" ca="1" si="6">(E16-A16)/B16</f>
        <v>-0.12323957687890787</v>
      </c>
      <c r="H16">
        <v>0.117825</v>
      </c>
      <c r="I16">
        <v>-8.9634000000000005E-2</v>
      </c>
    </row>
    <row r="17" spans="1:9" x14ac:dyDescent="0.3">
      <c r="A17">
        <v>8.1379350000000006</v>
      </c>
      <c r="B17">
        <v>8.4746871677406101</v>
      </c>
      <c r="C17">
        <f ca="1">soc!F20</f>
        <v>13.73531927546909</v>
      </c>
      <c r="D17">
        <f t="shared" ca="1" si="4"/>
        <v>13.73531927546909</v>
      </c>
      <c r="E17">
        <f t="shared" ca="1" si="5"/>
        <v>13.73531927546909</v>
      </c>
      <c r="G17">
        <f t="shared" ca="1" si="6"/>
        <v>0.66048270156518085</v>
      </c>
      <c r="H17">
        <v>2.61213E-2</v>
      </c>
      <c r="I17">
        <v>-0.205841</v>
      </c>
    </row>
    <row r="18" spans="1:9" x14ac:dyDescent="0.3">
      <c r="A18">
        <v>5.0734180000000002</v>
      </c>
      <c r="B18">
        <v>13.1051649215115</v>
      </c>
      <c r="C18">
        <f ca="1">soc!F21</f>
        <v>0.41160287482672497</v>
      </c>
      <c r="D18">
        <f t="shared" ca="1" si="4"/>
        <v>0.41160287482672497</v>
      </c>
      <c r="E18">
        <f t="shared" ca="1" si="5"/>
        <v>0.41160287482672497</v>
      </c>
      <c r="G18">
        <f t="shared" ca="1" si="6"/>
        <v>-0.3557234993297283</v>
      </c>
      <c r="H18">
        <v>-5.1272400000000003E-2</v>
      </c>
      <c r="I18">
        <v>-0.107569</v>
      </c>
    </row>
    <row r="19" spans="1:9" x14ac:dyDescent="0.3">
      <c r="A19">
        <v>797.73936666666702</v>
      </c>
      <c r="B19">
        <v>587.92374296199898</v>
      </c>
      <c r="C19">
        <f ca="1">soc!F22</f>
        <v>1178.6163733520737</v>
      </c>
      <c r="D19">
        <f t="shared" ca="1" si="4"/>
        <v>1178.6163733520737</v>
      </c>
      <c r="E19">
        <f t="shared" ca="1" si="5"/>
        <v>1178.6163733520737</v>
      </c>
      <c r="G19">
        <f t="shared" ca="1" si="6"/>
        <v>0.64783402821345992</v>
      </c>
      <c r="H19">
        <v>-0.25661899999999999</v>
      </c>
      <c r="I19">
        <v>-0.137659</v>
      </c>
    </row>
    <row r="20" spans="1:9" x14ac:dyDescent="0.3">
      <c r="A20">
        <v>467.9615</v>
      </c>
      <c r="B20">
        <v>217.84995095940999</v>
      </c>
      <c r="C20">
        <f ca="1">soc!F23</f>
        <v>16.663413438101088</v>
      </c>
      <c r="D20">
        <f t="shared" ca="1" si="4"/>
        <v>16.663413438101088</v>
      </c>
      <c r="E20">
        <f t="shared" ca="1" si="5"/>
        <v>16.663413438101088</v>
      </c>
      <c r="G20">
        <f t="shared" ca="1" si="6"/>
        <v>-2.0716005882690567</v>
      </c>
      <c r="H20">
        <v>7.5403700000000004E-2</v>
      </c>
      <c r="I20">
        <v>0.17446999999999999</v>
      </c>
    </row>
    <row r="21" spans="1:9" x14ac:dyDescent="0.3">
      <c r="A21">
        <v>11.509413</v>
      </c>
      <c r="B21">
        <v>6.3835614133951299</v>
      </c>
      <c r="C21">
        <f ca="1">soc!F24</f>
        <v>-5.927265686628731</v>
      </c>
      <c r="D21">
        <f t="shared" ca="1" si="4"/>
        <v>0</v>
      </c>
      <c r="E21">
        <f t="shared" ca="1" si="5"/>
        <v>0</v>
      </c>
      <c r="G21">
        <f t="shared" ca="1" si="6"/>
        <v>-1.8029767796780167</v>
      </c>
      <c r="H21">
        <v>8.9286799999999999E-2</v>
      </c>
      <c r="I21">
        <v>6.7256200000000002E-2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7961-D595-4A1A-B067-18B4C4EC696C}">
  <sheetPr codeName="Sheet6"/>
  <dimension ref="A1:J1004"/>
  <sheetViews>
    <sheetView workbookViewId="0">
      <selection activeCell="G14" sqref="G14"/>
    </sheetView>
  </sheetViews>
  <sheetFormatPr defaultRowHeight="14.4" x14ac:dyDescent="0.3"/>
  <cols>
    <col min="2" max="2" width="12" bestFit="1" customWidth="1"/>
  </cols>
  <sheetData>
    <row r="1" spans="1:10" x14ac:dyDescent="0.3">
      <c r="B1" s="4" t="s">
        <v>77</v>
      </c>
    </row>
    <row r="2" spans="1:10" x14ac:dyDescent="0.3">
      <c r="B2" t="s">
        <v>63</v>
      </c>
      <c r="C2" t="s">
        <v>64</v>
      </c>
    </row>
    <row r="3" spans="1:10" x14ac:dyDescent="0.3">
      <c r="A3" t="s">
        <v>62</v>
      </c>
      <c r="B3">
        <v>1000</v>
      </c>
      <c r="C3">
        <v>1000</v>
      </c>
      <c r="G3" t="s">
        <v>63</v>
      </c>
      <c r="H3" t="s">
        <v>64</v>
      </c>
    </row>
    <row r="4" spans="1:10" x14ac:dyDescent="0.3">
      <c r="A4" t="s">
        <v>65</v>
      </c>
      <c r="B4">
        <f>SUM(I4:I1004)</f>
        <v>1393064</v>
      </c>
      <c r="C4">
        <f>SUM(J4:J1004)</f>
        <v>611939</v>
      </c>
      <c r="G4">
        <f>both!N12</f>
        <v>0.63920711095999283</v>
      </c>
      <c r="H4">
        <f>soc!N12</f>
        <v>0.10361664866468286</v>
      </c>
      <c r="I4">
        <f>RANK(G4,$G$4:$H$1004,1) + (COUNTIF($G$4:$H$1004,G4)-1)/2</f>
        <v>1312</v>
      </c>
      <c r="J4">
        <f>RANK(H4,$G$4:$H$1004,1) + (COUNTIF($G$4:$H$1004,H4)-1)/2</f>
        <v>687</v>
      </c>
    </row>
    <row r="5" spans="1:10" x14ac:dyDescent="0.3">
      <c r="A5" t="s">
        <v>66</v>
      </c>
      <c r="B5">
        <f>B3*C3+(B3*(B3+1))/2-B4</f>
        <v>107436</v>
      </c>
      <c r="C5">
        <f>B3*C3+C3*(C3+1)/2-C4</f>
        <v>888561</v>
      </c>
      <c r="G5">
        <f>both!N13</f>
        <v>0.89173048213645179</v>
      </c>
      <c r="H5">
        <f>soc!N13</f>
        <v>1.4218814704110736E-4</v>
      </c>
      <c r="I5">
        <f t="shared" ref="I5:I68" si="0">RANK(G5,$G$4:$H$1004,1) + (COUNTIF($G$4:$H$1004,G5)-1)/2</f>
        <v>1813</v>
      </c>
      <c r="J5">
        <f t="shared" ref="J5:J68" si="1">RANK(H5,$G$4:$H$1004,1) + (COUNTIF($G$4:$H$1004,H5)-1)/2</f>
        <v>60</v>
      </c>
    </row>
    <row r="6" spans="1:10" x14ac:dyDescent="0.3">
      <c r="A6" t="s">
        <v>67</v>
      </c>
      <c r="B6">
        <v>0.05</v>
      </c>
      <c r="G6">
        <f>both!N14</f>
        <v>0.64467010682006054</v>
      </c>
      <c r="H6">
        <f>soc!N14</f>
        <v>0.72882056037398346</v>
      </c>
      <c r="I6">
        <f t="shared" si="0"/>
        <v>1320</v>
      </c>
      <c r="J6">
        <f t="shared" si="1"/>
        <v>1468</v>
      </c>
    </row>
    <row r="7" spans="1:10" x14ac:dyDescent="0.3">
      <c r="A7" t="s">
        <v>68</v>
      </c>
      <c r="B7">
        <v>2</v>
      </c>
      <c r="G7">
        <f>both!N15</f>
        <v>0.71671507419130243</v>
      </c>
      <c r="H7">
        <f>soc!N15</f>
        <v>0.99993957116975918</v>
      </c>
      <c r="I7">
        <f t="shared" si="0"/>
        <v>1444</v>
      </c>
      <c r="J7">
        <f t="shared" si="1"/>
        <v>1994</v>
      </c>
    </row>
    <row r="8" spans="1:10" x14ac:dyDescent="0.3">
      <c r="A8" t="s">
        <v>69</v>
      </c>
      <c r="B8">
        <f>MIN(B5:C5)</f>
        <v>107436</v>
      </c>
      <c r="G8">
        <f>both!N16</f>
        <v>0.64187605308564044</v>
      </c>
      <c r="H8">
        <f>soc!N16</f>
        <v>0.13562451929022942</v>
      </c>
      <c r="I8">
        <f t="shared" si="0"/>
        <v>1316</v>
      </c>
      <c r="J8">
        <f t="shared" si="1"/>
        <v>718</v>
      </c>
    </row>
    <row r="9" spans="1:10" x14ac:dyDescent="0.3">
      <c r="A9" t="s">
        <v>70</v>
      </c>
      <c r="B9">
        <f>B3*C3/2</f>
        <v>500000</v>
      </c>
      <c r="G9">
        <f>both!N17</f>
        <v>0.65927305198939834</v>
      </c>
      <c r="H9">
        <f>soc!N17</f>
        <v>0.23695672390389738</v>
      </c>
      <c r="I9">
        <f t="shared" si="0"/>
        <v>1341</v>
      </c>
      <c r="J9">
        <f t="shared" si="1"/>
        <v>798</v>
      </c>
    </row>
    <row r="10" spans="1:10" x14ac:dyDescent="0.3">
      <c r="A10" t="s">
        <v>72</v>
      </c>
      <c r="B10">
        <f>B9*(B3+C3+1)/6</f>
        <v>166750000</v>
      </c>
      <c r="G10">
        <f>both!N18</f>
        <v>0.73601176760868725</v>
      </c>
      <c r="H10">
        <f>soc!N18</f>
        <v>2.1836102770840957E-2</v>
      </c>
      <c r="I10">
        <f t="shared" si="0"/>
        <v>1484</v>
      </c>
      <c r="J10">
        <f t="shared" si="1"/>
        <v>516</v>
      </c>
    </row>
    <row r="11" spans="1:10" x14ac:dyDescent="0.3">
      <c r="A11" t="s">
        <v>71</v>
      </c>
      <c r="B11">
        <f>B10^0.5</f>
        <v>12913.171570144958</v>
      </c>
      <c r="G11">
        <f>both!N19</f>
        <v>0.85910345133479371</v>
      </c>
      <c r="H11">
        <f>soc!N19</f>
        <v>3.090447180119236E-3</v>
      </c>
      <c r="I11">
        <f t="shared" si="0"/>
        <v>1730</v>
      </c>
      <c r="J11">
        <f t="shared" si="1"/>
        <v>287</v>
      </c>
    </row>
    <row r="12" spans="1:10" x14ac:dyDescent="0.3">
      <c r="A12" t="s">
        <v>73</v>
      </c>
      <c r="B12">
        <f>(B8-B9)/B11</f>
        <v>-30.400277566790919</v>
      </c>
      <c r="G12">
        <f>both!N20</f>
        <v>0.73351481912319816</v>
      </c>
      <c r="H12">
        <f>soc!N20</f>
        <v>0.65451562215051551</v>
      </c>
      <c r="I12">
        <f t="shared" si="0"/>
        <v>1475</v>
      </c>
      <c r="J12">
        <f t="shared" si="1"/>
        <v>1334</v>
      </c>
    </row>
    <row r="13" spans="1:10" x14ac:dyDescent="0.3">
      <c r="B13">
        <f>B9+B11*NORMSINV(B6)-0.5</f>
        <v>478759.2229074004</v>
      </c>
      <c r="G13">
        <f>both!N21</f>
        <v>0.20348686996516546</v>
      </c>
      <c r="H13">
        <f>soc!N21</f>
        <v>5.5323437881789096E-3</v>
      </c>
      <c r="I13">
        <f t="shared" si="0"/>
        <v>776</v>
      </c>
      <c r="J13">
        <f t="shared" si="1"/>
        <v>361</v>
      </c>
    </row>
    <row r="14" spans="1:10" x14ac:dyDescent="0.3">
      <c r="A14" t="s">
        <v>74</v>
      </c>
      <c r="B14">
        <f>NORMSDIST(B12)</f>
        <v>2.7233599789660269E-203</v>
      </c>
      <c r="G14">
        <f>both!N22</f>
        <v>0.86817517704972802</v>
      </c>
      <c r="H14">
        <f>soc!N22</f>
        <v>0.27927161496380037</v>
      </c>
      <c r="I14">
        <f t="shared" si="0"/>
        <v>1764</v>
      </c>
      <c r="J14">
        <f t="shared" si="1"/>
        <v>832</v>
      </c>
    </row>
    <row r="15" spans="1:10" x14ac:dyDescent="0.3">
      <c r="A15" t="s">
        <v>75</v>
      </c>
      <c r="B15" t="str">
        <f>IF(B14&lt;B6,"Different effect (p-value&lt;0.05)","Same Effect (p-value&gt;0.05)")</f>
        <v>Different effect (p-value&lt;0.05)</v>
      </c>
      <c r="G15">
        <f>both!N23</f>
        <v>0.80367697561887019</v>
      </c>
      <c r="H15">
        <f>soc!N23</f>
        <v>2.8627897208390783E-2</v>
      </c>
      <c r="I15">
        <f t="shared" si="0"/>
        <v>1613</v>
      </c>
      <c r="J15">
        <f t="shared" si="1"/>
        <v>546</v>
      </c>
    </row>
    <row r="16" spans="1:10" x14ac:dyDescent="0.3">
      <c r="G16">
        <f>both!N24</f>
        <v>0.48399356945792449</v>
      </c>
      <c r="H16">
        <f>soc!N24</f>
        <v>1.7398754256322497E-2</v>
      </c>
      <c r="I16">
        <f t="shared" si="0"/>
        <v>1073</v>
      </c>
      <c r="J16">
        <f t="shared" si="1"/>
        <v>487</v>
      </c>
    </row>
    <row r="17" spans="7:10" x14ac:dyDescent="0.3">
      <c r="G17">
        <f>both!N25</f>
        <v>0.41502216673825809</v>
      </c>
      <c r="H17">
        <f>soc!N25</f>
        <v>4.721234370110251E-3</v>
      </c>
      <c r="I17">
        <f t="shared" si="0"/>
        <v>993</v>
      </c>
      <c r="J17">
        <f t="shared" si="1"/>
        <v>334</v>
      </c>
    </row>
    <row r="18" spans="7:10" x14ac:dyDescent="0.3">
      <c r="G18">
        <f>both!N26</f>
        <v>0.40615812545456387</v>
      </c>
      <c r="H18">
        <f>soc!N26</f>
        <v>2.7028453460215471E-2</v>
      </c>
      <c r="I18">
        <f t="shared" si="0"/>
        <v>983</v>
      </c>
      <c r="J18">
        <f t="shared" si="1"/>
        <v>543</v>
      </c>
    </row>
    <row r="19" spans="7:10" x14ac:dyDescent="0.3">
      <c r="G19">
        <f>both!N27</f>
        <v>0.41802517668854877</v>
      </c>
      <c r="H19">
        <f>soc!N27</f>
        <v>1.8939703186134863E-4</v>
      </c>
      <c r="I19">
        <f t="shared" si="0"/>
        <v>995</v>
      </c>
      <c r="J19">
        <f t="shared" si="1"/>
        <v>78</v>
      </c>
    </row>
    <row r="20" spans="7:10" x14ac:dyDescent="0.3">
      <c r="G20">
        <f>both!N28</f>
        <v>0.19367897573665055</v>
      </c>
      <c r="H20">
        <f>soc!N28</f>
        <v>0.35362800831437025</v>
      </c>
      <c r="I20">
        <f t="shared" si="0"/>
        <v>766</v>
      </c>
      <c r="J20">
        <f t="shared" si="1"/>
        <v>916</v>
      </c>
    </row>
    <row r="21" spans="7:10" x14ac:dyDescent="0.3">
      <c r="G21">
        <f>both!N29</f>
        <v>0.46942371009419681</v>
      </c>
      <c r="H21">
        <f>soc!N29</f>
        <v>7.5351941302850334E-2</v>
      </c>
      <c r="I21">
        <f t="shared" si="0"/>
        <v>1058</v>
      </c>
      <c r="J21">
        <f t="shared" si="1"/>
        <v>656</v>
      </c>
    </row>
    <row r="22" spans="7:10" x14ac:dyDescent="0.3">
      <c r="G22">
        <f>both!N30</f>
        <v>0.75004265356001731</v>
      </c>
      <c r="H22">
        <f>soc!N30</f>
        <v>3.2546972864469816E-3</v>
      </c>
      <c r="I22">
        <f t="shared" si="0"/>
        <v>1513</v>
      </c>
      <c r="J22">
        <f t="shared" si="1"/>
        <v>293</v>
      </c>
    </row>
    <row r="23" spans="7:10" x14ac:dyDescent="0.3">
      <c r="G23">
        <f>both!N31</f>
        <v>0.58235674535018767</v>
      </c>
      <c r="H23">
        <f>soc!N31</f>
        <v>0.70058466726944624</v>
      </c>
      <c r="I23">
        <f t="shared" si="0"/>
        <v>1223</v>
      </c>
      <c r="J23">
        <f t="shared" si="1"/>
        <v>1414</v>
      </c>
    </row>
    <row r="24" spans="7:10" x14ac:dyDescent="0.3">
      <c r="G24">
        <f>both!N32</f>
        <v>0.90434071150660755</v>
      </c>
      <c r="H24">
        <f>soc!N32</f>
        <v>0.43207203376402326</v>
      </c>
      <c r="I24">
        <f t="shared" si="0"/>
        <v>1837</v>
      </c>
      <c r="J24">
        <f t="shared" si="1"/>
        <v>1015</v>
      </c>
    </row>
    <row r="25" spans="7:10" x14ac:dyDescent="0.3">
      <c r="G25">
        <f>both!N33</f>
        <v>0.48165923628528667</v>
      </c>
      <c r="H25">
        <f>soc!N33</f>
        <v>3.6045292334354765E-4</v>
      </c>
      <c r="I25">
        <f t="shared" si="0"/>
        <v>1068</v>
      </c>
      <c r="J25">
        <f t="shared" si="1"/>
        <v>107</v>
      </c>
    </row>
    <row r="26" spans="7:10" x14ac:dyDescent="0.3">
      <c r="G26">
        <f>both!N34</f>
        <v>0.6996813063677978</v>
      </c>
      <c r="H26">
        <f>soc!N34</f>
        <v>1.8346638590022025E-3</v>
      </c>
      <c r="I26">
        <f t="shared" si="0"/>
        <v>1409</v>
      </c>
      <c r="J26">
        <f t="shared" si="1"/>
        <v>240</v>
      </c>
    </row>
    <row r="27" spans="7:10" x14ac:dyDescent="0.3">
      <c r="G27">
        <f>both!N35</f>
        <v>0.28600852141736144</v>
      </c>
      <c r="H27">
        <f>soc!N35</f>
        <v>0.10107632566551411</v>
      </c>
      <c r="I27">
        <f t="shared" si="0"/>
        <v>837</v>
      </c>
      <c r="J27">
        <f t="shared" si="1"/>
        <v>685</v>
      </c>
    </row>
    <row r="28" spans="7:10" x14ac:dyDescent="0.3">
      <c r="G28">
        <f>both!N36</f>
        <v>0.89518907841943174</v>
      </c>
      <c r="H28">
        <f>soc!N36</f>
        <v>4.2404086515868454E-3</v>
      </c>
      <c r="I28">
        <f t="shared" si="0"/>
        <v>1818</v>
      </c>
      <c r="J28">
        <f t="shared" si="1"/>
        <v>324</v>
      </c>
    </row>
    <row r="29" spans="7:10" x14ac:dyDescent="0.3">
      <c r="G29">
        <f>both!N37</f>
        <v>0.80798427911645132</v>
      </c>
      <c r="H29">
        <f>soc!N37</f>
        <v>8.6120377732770833E-4</v>
      </c>
      <c r="I29">
        <f t="shared" si="0"/>
        <v>1620</v>
      </c>
      <c r="J29">
        <f t="shared" si="1"/>
        <v>164</v>
      </c>
    </row>
    <row r="30" spans="7:10" x14ac:dyDescent="0.3">
      <c r="G30">
        <f>both!N38</f>
        <v>0.5643678667446822</v>
      </c>
      <c r="H30">
        <f>soc!N38</f>
        <v>5.2797107563802344E-5</v>
      </c>
      <c r="I30">
        <f t="shared" si="0"/>
        <v>1199</v>
      </c>
      <c r="J30">
        <f t="shared" si="1"/>
        <v>32</v>
      </c>
    </row>
    <row r="31" spans="7:10" x14ac:dyDescent="0.3">
      <c r="G31">
        <f>both!N39</f>
        <v>0.67081578220859972</v>
      </c>
      <c r="H31">
        <f>soc!N39</f>
        <v>8.2693931433835244E-2</v>
      </c>
      <c r="I31">
        <f t="shared" si="0"/>
        <v>1367</v>
      </c>
      <c r="J31">
        <f t="shared" si="1"/>
        <v>663</v>
      </c>
    </row>
    <row r="32" spans="7:10" x14ac:dyDescent="0.3">
      <c r="G32">
        <f>both!N40</f>
        <v>0.82445084664844526</v>
      </c>
      <c r="H32">
        <f>soc!N40</f>
        <v>1.7752723857614665E-2</v>
      </c>
      <c r="I32">
        <f t="shared" si="0"/>
        <v>1652</v>
      </c>
      <c r="J32">
        <f t="shared" si="1"/>
        <v>491</v>
      </c>
    </row>
    <row r="33" spans="7:10" x14ac:dyDescent="0.3">
      <c r="G33">
        <f>both!N41</f>
        <v>0.33339932330933492</v>
      </c>
      <c r="H33">
        <f>soc!N41</f>
        <v>1.9987722983106138E-2</v>
      </c>
      <c r="I33">
        <f t="shared" si="0"/>
        <v>888</v>
      </c>
      <c r="J33">
        <f t="shared" si="1"/>
        <v>505</v>
      </c>
    </row>
    <row r="34" spans="7:10" x14ac:dyDescent="0.3">
      <c r="G34">
        <f>both!N42</f>
        <v>0.79882374681099044</v>
      </c>
      <c r="H34">
        <f>soc!N42</f>
        <v>2.2226157181465001E-4</v>
      </c>
      <c r="I34">
        <f t="shared" si="0"/>
        <v>1604</v>
      </c>
      <c r="J34">
        <f t="shared" si="1"/>
        <v>86</v>
      </c>
    </row>
    <row r="35" spans="7:10" x14ac:dyDescent="0.3">
      <c r="G35">
        <f>both!N43</f>
        <v>0.49210240539037386</v>
      </c>
      <c r="H35">
        <f>soc!N43</f>
        <v>1.8142629872346661E-3</v>
      </c>
      <c r="I35">
        <f t="shared" si="0"/>
        <v>1087</v>
      </c>
      <c r="J35">
        <f t="shared" si="1"/>
        <v>238</v>
      </c>
    </row>
    <row r="36" spans="7:10" x14ac:dyDescent="0.3">
      <c r="G36">
        <f>both!N44</f>
        <v>0.65118863932150139</v>
      </c>
      <c r="H36">
        <f>soc!N44</f>
        <v>0.59970645024259428</v>
      </c>
      <c r="I36">
        <f t="shared" si="0"/>
        <v>1329</v>
      </c>
      <c r="J36">
        <f t="shared" si="1"/>
        <v>1260</v>
      </c>
    </row>
    <row r="37" spans="7:10" x14ac:dyDescent="0.3">
      <c r="G37">
        <f>both!N45</f>
        <v>0.63302642169090628</v>
      </c>
      <c r="H37">
        <f>soc!N45</f>
        <v>8.7553966308495223E-3</v>
      </c>
      <c r="I37">
        <f t="shared" si="0"/>
        <v>1302</v>
      </c>
      <c r="J37">
        <f t="shared" si="1"/>
        <v>412</v>
      </c>
    </row>
    <row r="38" spans="7:10" x14ac:dyDescent="0.3">
      <c r="G38">
        <f>both!N46</f>
        <v>0.4656491980809529</v>
      </c>
      <c r="H38">
        <f>soc!N46</f>
        <v>0.57100501295557193</v>
      </c>
      <c r="I38">
        <f t="shared" si="0"/>
        <v>1053</v>
      </c>
      <c r="J38">
        <f t="shared" si="1"/>
        <v>1210</v>
      </c>
    </row>
    <row r="39" spans="7:10" x14ac:dyDescent="0.3">
      <c r="G39">
        <f>both!N47</f>
        <v>0.40225843521331972</v>
      </c>
      <c r="H39">
        <f>soc!N47</f>
        <v>1.4408270293878562E-4</v>
      </c>
      <c r="I39">
        <f t="shared" si="0"/>
        <v>977</v>
      </c>
      <c r="J39">
        <f t="shared" si="1"/>
        <v>61</v>
      </c>
    </row>
    <row r="40" spans="7:10" x14ac:dyDescent="0.3">
      <c r="G40">
        <f>both!N48</f>
        <v>0.66086974920259223</v>
      </c>
      <c r="H40">
        <f>soc!N48</f>
        <v>2.8295307624524244E-3</v>
      </c>
      <c r="I40">
        <f t="shared" si="0"/>
        <v>1347</v>
      </c>
      <c r="J40">
        <f t="shared" si="1"/>
        <v>278</v>
      </c>
    </row>
    <row r="41" spans="7:10" x14ac:dyDescent="0.3">
      <c r="G41">
        <f>both!N49</f>
        <v>0.79403779858987977</v>
      </c>
      <c r="H41">
        <f>soc!N49</f>
        <v>1.2064205822202714E-2</v>
      </c>
      <c r="I41">
        <f t="shared" si="0"/>
        <v>1593</v>
      </c>
      <c r="J41">
        <f t="shared" si="1"/>
        <v>446</v>
      </c>
    </row>
    <row r="42" spans="7:10" x14ac:dyDescent="0.3">
      <c r="G42">
        <f>both!N50</f>
        <v>0.75301581767498649</v>
      </c>
      <c r="H42">
        <f>soc!N50</f>
        <v>6.2141387022692975E-3</v>
      </c>
      <c r="I42">
        <f t="shared" si="0"/>
        <v>1518</v>
      </c>
      <c r="J42">
        <f t="shared" si="1"/>
        <v>371</v>
      </c>
    </row>
    <row r="43" spans="7:10" x14ac:dyDescent="0.3">
      <c r="G43">
        <f>both!N51</f>
        <v>0.70364268750509062</v>
      </c>
      <c r="H43">
        <f>soc!N51</f>
        <v>0.2729096416048663</v>
      </c>
      <c r="I43">
        <f t="shared" si="0"/>
        <v>1421</v>
      </c>
      <c r="J43">
        <f t="shared" si="1"/>
        <v>825</v>
      </c>
    </row>
    <row r="44" spans="7:10" x14ac:dyDescent="0.3">
      <c r="G44">
        <f>both!N52</f>
        <v>0.85807520273772697</v>
      </c>
      <c r="H44">
        <f>soc!N52</f>
        <v>6.8245829692196988E-2</v>
      </c>
      <c r="I44">
        <f t="shared" si="0"/>
        <v>1728</v>
      </c>
      <c r="J44">
        <f t="shared" si="1"/>
        <v>646</v>
      </c>
    </row>
    <row r="45" spans="7:10" x14ac:dyDescent="0.3">
      <c r="G45">
        <f>both!N53</f>
        <v>0.59186268659937147</v>
      </c>
      <c r="H45">
        <f>soc!N53</f>
        <v>3.1339094550475785E-5</v>
      </c>
      <c r="I45">
        <f t="shared" si="0"/>
        <v>1245</v>
      </c>
      <c r="J45">
        <f t="shared" si="1"/>
        <v>20</v>
      </c>
    </row>
    <row r="46" spans="7:10" x14ac:dyDescent="0.3">
      <c r="G46">
        <f>both!N54</f>
        <v>0.86367246085277505</v>
      </c>
      <c r="H46">
        <f>soc!N54</f>
        <v>2.6928440537522668E-3</v>
      </c>
      <c r="I46">
        <f t="shared" si="0"/>
        <v>1746</v>
      </c>
      <c r="J46">
        <f t="shared" si="1"/>
        <v>272</v>
      </c>
    </row>
    <row r="47" spans="7:10" x14ac:dyDescent="0.3">
      <c r="G47">
        <f>both!N55</f>
        <v>0.75854395152941811</v>
      </c>
      <c r="H47">
        <f>soc!N55</f>
        <v>4.9154095526653162E-3</v>
      </c>
      <c r="I47">
        <f t="shared" si="0"/>
        <v>1531</v>
      </c>
      <c r="J47">
        <f t="shared" si="1"/>
        <v>346</v>
      </c>
    </row>
    <row r="48" spans="7:10" x14ac:dyDescent="0.3">
      <c r="G48">
        <f>both!N56</f>
        <v>0.59666832185676255</v>
      </c>
      <c r="H48">
        <f>soc!N56</f>
        <v>2.1934438361157697E-3</v>
      </c>
      <c r="I48">
        <f t="shared" si="0"/>
        <v>1252</v>
      </c>
      <c r="J48">
        <f t="shared" si="1"/>
        <v>259</v>
      </c>
    </row>
    <row r="49" spans="7:10" x14ac:dyDescent="0.3">
      <c r="G49">
        <f>both!N57</f>
        <v>0.52137910636562645</v>
      </c>
      <c r="H49">
        <f>soc!N57</f>
        <v>1.6051903131713317E-2</v>
      </c>
      <c r="I49">
        <f t="shared" si="0"/>
        <v>1134</v>
      </c>
      <c r="J49">
        <f t="shared" si="1"/>
        <v>475</v>
      </c>
    </row>
    <row r="50" spans="7:10" x14ac:dyDescent="0.3">
      <c r="G50">
        <f>both!N58</f>
        <v>0.27401819642767689</v>
      </c>
      <c r="H50">
        <f>soc!N58</f>
        <v>4.8938575015464406E-2</v>
      </c>
      <c r="I50">
        <f t="shared" si="0"/>
        <v>828</v>
      </c>
      <c r="J50">
        <f t="shared" si="1"/>
        <v>611</v>
      </c>
    </row>
    <row r="51" spans="7:10" x14ac:dyDescent="0.3">
      <c r="G51">
        <f>both!N59</f>
        <v>0.80806438489770815</v>
      </c>
      <c r="H51">
        <f>soc!N59</f>
        <v>0.36273104570995424</v>
      </c>
      <c r="I51">
        <f t="shared" si="0"/>
        <v>1621</v>
      </c>
      <c r="J51">
        <f t="shared" si="1"/>
        <v>926</v>
      </c>
    </row>
    <row r="52" spans="7:10" x14ac:dyDescent="0.3">
      <c r="G52">
        <f>both!N60</f>
        <v>0.86418285001512252</v>
      </c>
      <c r="H52">
        <f>soc!N60</f>
        <v>1.0102680871979174E-2</v>
      </c>
      <c r="I52">
        <f t="shared" si="0"/>
        <v>1751</v>
      </c>
      <c r="J52">
        <f t="shared" si="1"/>
        <v>426</v>
      </c>
    </row>
    <row r="53" spans="7:10" x14ac:dyDescent="0.3">
      <c r="G53">
        <f>both!N61</f>
        <v>0.79812888876819676</v>
      </c>
      <c r="H53">
        <f>soc!N61</f>
        <v>1.6857060178979924E-5</v>
      </c>
      <c r="I53">
        <f t="shared" si="0"/>
        <v>1601</v>
      </c>
      <c r="J53">
        <f t="shared" si="1"/>
        <v>16</v>
      </c>
    </row>
    <row r="54" spans="7:10" x14ac:dyDescent="0.3">
      <c r="G54">
        <f>both!N62</f>
        <v>0.87169951023982384</v>
      </c>
      <c r="H54">
        <f>soc!N62</f>
        <v>1.3977128025458689E-2</v>
      </c>
      <c r="I54">
        <f t="shared" si="0"/>
        <v>1772</v>
      </c>
      <c r="J54">
        <f t="shared" si="1"/>
        <v>460</v>
      </c>
    </row>
    <row r="55" spans="7:10" x14ac:dyDescent="0.3">
      <c r="G55">
        <f>both!N63</f>
        <v>0.32347127312633572</v>
      </c>
      <c r="H55">
        <f>soc!N63</f>
        <v>0.72083304223426059</v>
      </c>
      <c r="I55">
        <f t="shared" si="0"/>
        <v>875</v>
      </c>
      <c r="J55">
        <f t="shared" si="1"/>
        <v>1456</v>
      </c>
    </row>
    <row r="56" spans="7:10" x14ac:dyDescent="0.3">
      <c r="G56">
        <f>both!N64</f>
        <v>0.73770481081157746</v>
      </c>
      <c r="H56">
        <f>soc!N64</f>
        <v>1.8632364623125911E-3</v>
      </c>
      <c r="I56">
        <f t="shared" si="0"/>
        <v>1489</v>
      </c>
      <c r="J56">
        <f t="shared" si="1"/>
        <v>241</v>
      </c>
    </row>
    <row r="57" spans="7:10" x14ac:dyDescent="0.3">
      <c r="G57">
        <f>both!N65</f>
        <v>0.87791820916309893</v>
      </c>
      <c r="H57">
        <f>soc!N65</f>
        <v>0.26536456790057139</v>
      </c>
      <c r="I57">
        <f t="shared" si="0"/>
        <v>1782</v>
      </c>
      <c r="J57">
        <f t="shared" si="1"/>
        <v>821</v>
      </c>
    </row>
    <row r="58" spans="7:10" x14ac:dyDescent="0.3">
      <c r="G58">
        <f>both!N66</f>
        <v>0.39978176599648374</v>
      </c>
      <c r="H58">
        <f>soc!N66</f>
        <v>2.7646777511747241E-3</v>
      </c>
      <c r="I58">
        <f t="shared" si="0"/>
        <v>974</v>
      </c>
      <c r="J58">
        <f t="shared" si="1"/>
        <v>273</v>
      </c>
    </row>
    <row r="59" spans="7:10" x14ac:dyDescent="0.3">
      <c r="G59">
        <f>both!N67</f>
        <v>0.39760777384192802</v>
      </c>
      <c r="H59">
        <f>soc!N67</f>
        <v>4.3103082316200046E-2</v>
      </c>
      <c r="I59">
        <f t="shared" si="0"/>
        <v>971</v>
      </c>
      <c r="J59">
        <f t="shared" si="1"/>
        <v>590</v>
      </c>
    </row>
    <row r="60" spans="7:10" x14ac:dyDescent="0.3">
      <c r="G60">
        <f>both!N68</f>
        <v>0.37319609603110659</v>
      </c>
      <c r="H60">
        <f>soc!N68</f>
        <v>1.7265744376474799E-2</v>
      </c>
      <c r="I60">
        <f t="shared" si="0"/>
        <v>940</v>
      </c>
      <c r="J60">
        <f t="shared" si="1"/>
        <v>485</v>
      </c>
    </row>
    <row r="61" spans="7:10" x14ac:dyDescent="0.3">
      <c r="G61">
        <f>both!N69</f>
        <v>0.94985665011272036</v>
      </c>
      <c r="H61">
        <f>soc!N69</f>
        <v>0.65270372377894037</v>
      </c>
      <c r="I61">
        <f t="shared" si="0"/>
        <v>1923</v>
      </c>
      <c r="J61">
        <f t="shared" si="1"/>
        <v>1332</v>
      </c>
    </row>
    <row r="62" spans="7:10" x14ac:dyDescent="0.3">
      <c r="G62">
        <f>both!N70</f>
        <v>0.81474683035026219</v>
      </c>
      <c r="H62">
        <f>soc!N70</f>
        <v>0.36774033309159665</v>
      </c>
      <c r="I62">
        <f t="shared" si="0"/>
        <v>1632</v>
      </c>
      <c r="J62">
        <f t="shared" si="1"/>
        <v>932</v>
      </c>
    </row>
    <row r="63" spans="7:10" x14ac:dyDescent="0.3">
      <c r="G63">
        <f>both!N71</f>
        <v>0.16190405829814425</v>
      </c>
      <c r="H63">
        <f>soc!N71</f>
        <v>5.4181104841976994E-6</v>
      </c>
      <c r="I63">
        <f t="shared" si="0"/>
        <v>736</v>
      </c>
      <c r="J63">
        <f t="shared" si="1"/>
        <v>5</v>
      </c>
    </row>
    <row r="64" spans="7:10" x14ac:dyDescent="0.3">
      <c r="G64">
        <f>both!N72</f>
        <v>0.53100121523958821</v>
      </c>
      <c r="H64">
        <f>soc!N72</f>
        <v>0.98971441142349248</v>
      </c>
      <c r="I64">
        <f t="shared" si="0"/>
        <v>1146</v>
      </c>
      <c r="J64">
        <f t="shared" si="1"/>
        <v>1980</v>
      </c>
    </row>
    <row r="65" spans="7:10" x14ac:dyDescent="0.3">
      <c r="G65">
        <f>both!N73</f>
        <v>0.79023444630644268</v>
      </c>
      <c r="H65">
        <f>soc!N73</f>
        <v>0.19458313525499313</v>
      </c>
      <c r="I65">
        <f t="shared" si="0"/>
        <v>1582</v>
      </c>
      <c r="J65">
        <f t="shared" si="1"/>
        <v>767</v>
      </c>
    </row>
    <row r="66" spans="7:10" x14ac:dyDescent="0.3">
      <c r="G66">
        <f>both!N74</f>
        <v>0.37524982595889722</v>
      </c>
      <c r="H66">
        <f>soc!N74</f>
        <v>0.84367449385327176</v>
      </c>
      <c r="I66">
        <f t="shared" si="0"/>
        <v>942</v>
      </c>
      <c r="J66">
        <f t="shared" si="1"/>
        <v>1700</v>
      </c>
    </row>
    <row r="67" spans="7:10" x14ac:dyDescent="0.3">
      <c r="G67">
        <f>both!N75</f>
        <v>0.88849103703245713</v>
      </c>
      <c r="H67">
        <f>soc!N75</f>
        <v>2.6187442415469063E-3</v>
      </c>
      <c r="I67">
        <f t="shared" si="0"/>
        <v>1803</v>
      </c>
      <c r="J67">
        <f t="shared" si="1"/>
        <v>271</v>
      </c>
    </row>
    <row r="68" spans="7:10" x14ac:dyDescent="0.3">
      <c r="G68">
        <f>both!N76</f>
        <v>0.62507897162649173</v>
      </c>
      <c r="H68">
        <f>soc!N76</f>
        <v>4.005711409099901E-3</v>
      </c>
      <c r="I68">
        <f t="shared" si="0"/>
        <v>1290</v>
      </c>
      <c r="J68">
        <f t="shared" si="1"/>
        <v>314</v>
      </c>
    </row>
    <row r="69" spans="7:10" x14ac:dyDescent="0.3">
      <c r="G69">
        <f>both!N77</f>
        <v>0.50914753117100642</v>
      </c>
      <c r="H69">
        <f>soc!N77</f>
        <v>7.7560115847361618E-4</v>
      </c>
      <c r="I69">
        <f t="shared" ref="I69:I132" si="2">RANK(G69,$G$4:$H$1004,1) + (COUNTIF($G$4:$H$1004,G69)-1)/2</f>
        <v>1109</v>
      </c>
      <c r="J69">
        <f t="shared" ref="J69:J132" si="3">RANK(H69,$G$4:$H$1004,1) + (COUNTIF($G$4:$H$1004,H69)-1)/2</f>
        <v>155</v>
      </c>
    </row>
    <row r="70" spans="7:10" x14ac:dyDescent="0.3">
      <c r="G70">
        <f>both!N78</f>
        <v>0.8773637151510405</v>
      </c>
      <c r="H70">
        <f>soc!N78</f>
        <v>0.63762830541559568</v>
      </c>
      <c r="I70">
        <f t="shared" si="2"/>
        <v>1781</v>
      </c>
      <c r="J70">
        <f t="shared" si="3"/>
        <v>1311</v>
      </c>
    </row>
    <row r="71" spans="7:10" x14ac:dyDescent="0.3">
      <c r="G71">
        <f>both!N79</f>
        <v>0.68892856683321557</v>
      </c>
      <c r="H71">
        <f>soc!N79</f>
        <v>9.8000587978814141E-2</v>
      </c>
      <c r="I71">
        <f t="shared" si="2"/>
        <v>1393</v>
      </c>
      <c r="J71">
        <f t="shared" si="3"/>
        <v>678</v>
      </c>
    </row>
    <row r="72" spans="7:10" x14ac:dyDescent="0.3">
      <c r="G72">
        <f>both!N80</f>
        <v>0.95657360267411151</v>
      </c>
      <c r="H72">
        <f>soc!N80</f>
        <v>0.6630234849656621</v>
      </c>
      <c r="I72">
        <f t="shared" si="2"/>
        <v>1935</v>
      </c>
      <c r="J72">
        <f t="shared" si="3"/>
        <v>1352</v>
      </c>
    </row>
    <row r="73" spans="7:10" x14ac:dyDescent="0.3">
      <c r="G73">
        <f>both!N81</f>
        <v>0.13823629722079295</v>
      </c>
      <c r="H73">
        <f>soc!N81</f>
        <v>8.8631933722973011E-2</v>
      </c>
      <c r="I73">
        <f t="shared" si="2"/>
        <v>723</v>
      </c>
      <c r="J73">
        <f t="shared" si="3"/>
        <v>671</v>
      </c>
    </row>
    <row r="74" spans="7:10" x14ac:dyDescent="0.3">
      <c r="G74">
        <f>both!N82</f>
        <v>0.83989064799971758</v>
      </c>
      <c r="H74">
        <f>soc!N82</f>
        <v>0.59903673512858069</v>
      </c>
      <c r="I74">
        <f t="shared" si="2"/>
        <v>1691</v>
      </c>
      <c r="J74">
        <f t="shared" si="3"/>
        <v>1256</v>
      </c>
    </row>
    <row r="75" spans="7:10" x14ac:dyDescent="0.3">
      <c r="G75">
        <f>both!N83</f>
        <v>0.93200451630965442</v>
      </c>
      <c r="H75">
        <f>soc!N83</f>
        <v>0.12206204916402449</v>
      </c>
      <c r="I75">
        <f t="shared" si="2"/>
        <v>1889</v>
      </c>
      <c r="J75">
        <f t="shared" si="3"/>
        <v>704</v>
      </c>
    </row>
    <row r="76" spans="7:10" x14ac:dyDescent="0.3">
      <c r="G76">
        <f>both!N84</f>
        <v>0.92771554221693853</v>
      </c>
      <c r="H76">
        <f>soc!N84</f>
        <v>7.654434477092114E-3</v>
      </c>
      <c r="I76">
        <f t="shared" si="2"/>
        <v>1883</v>
      </c>
      <c r="J76">
        <f t="shared" si="3"/>
        <v>387</v>
      </c>
    </row>
    <row r="77" spans="7:10" x14ac:dyDescent="0.3">
      <c r="G77">
        <f>both!N85</f>
        <v>0.71760579978139738</v>
      </c>
      <c r="H77">
        <f>soc!N85</f>
        <v>4.2159994486115557E-3</v>
      </c>
      <c r="I77">
        <f t="shared" si="2"/>
        <v>1448</v>
      </c>
      <c r="J77">
        <f t="shared" si="3"/>
        <v>322</v>
      </c>
    </row>
    <row r="78" spans="7:10" x14ac:dyDescent="0.3">
      <c r="G78">
        <f>both!N86</f>
        <v>0.57957231647834084</v>
      </c>
      <c r="H78">
        <f>soc!N86</f>
        <v>9.0701931040993305E-2</v>
      </c>
      <c r="I78">
        <f t="shared" si="2"/>
        <v>1220</v>
      </c>
      <c r="J78">
        <f t="shared" si="3"/>
        <v>675</v>
      </c>
    </row>
    <row r="79" spans="7:10" x14ac:dyDescent="0.3">
      <c r="G79">
        <f>both!N87</f>
        <v>0.51040260301382268</v>
      </c>
      <c r="H79">
        <f>soc!N87</f>
        <v>4.0647782037171301E-2</v>
      </c>
      <c r="I79">
        <f t="shared" si="2"/>
        <v>1110</v>
      </c>
      <c r="J79">
        <f t="shared" si="3"/>
        <v>585</v>
      </c>
    </row>
    <row r="80" spans="7:10" x14ac:dyDescent="0.3">
      <c r="G80">
        <f>both!N88</f>
        <v>0.90204326756146913</v>
      </c>
      <c r="H80">
        <f>soc!N88</f>
        <v>0.15709595474170943</v>
      </c>
      <c r="I80">
        <f t="shared" si="2"/>
        <v>1831</v>
      </c>
      <c r="J80">
        <f t="shared" si="3"/>
        <v>732</v>
      </c>
    </row>
    <row r="81" spans="7:10" x14ac:dyDescent="0.3">
      <c r="G81">
        <f>both!N89</f>
        <v>0.26918167606184767</v>
      </c>
      <c r="H81">
        <f>soc!N89</f>
        <v>0.31285670217137362</v>
      </c>
      <c r="I81">
        <f t="shared" si="2"/>
        <v>824</v>
      </c>
      <c r="J81">
        <f t="shared" si="3"/>
        <v>864</v>
      </c>
    </row>
    <row r="82" spans="7:10" x14ac:dyDescent="0.3">
      <c r="G82">
        <f>both!N90</f>
        <v>0.61672704767535547</v>
      </c>
      <c r="H82">
        <f>soc!N90</f>
        <v>8.4255250949402183E-4</v>
      </c>
      <c r="I82">
        <f t="shared" si="2"/>
        <v>1283</v>
      </c>
      <c r="J82">
        <f t="shared" si="3"/>
        <v>161</v>
      </c>
    </row>
    <row r="83" spans="7:10" x14ac:dyDescent="0.3">
      <c r="G83">
        <f>both!N91</f>
        <v>0.58742570641762482</v>
      </c>
      <c r="H83">
        <f>soc!N91</f>
        <v>0.39146114492954626</v>
      </c>
      <c r="I83">
        <f t="shared" si="2"/>
        <v>1235</v>
      </c>
      <c r="J83">
        <f t="shared" si="3"/>
        <v>964</v>
      </c>
    </row>
    <row r="84" spans="7:10" x14ac:dyDescent="0.3">
      <c r="G84">
        <f>both!N92</f>
        <v>0.63213567376365698</v>
      </c>
      <c r="H84">
        <f>soc!N92</f>
        <v>3.3312388947025977E-2</v>
      </c>
      <c r="I84">
        <f t="shared" si="2"/>
        <v>1297</v>
      </c>
      <c r="J84">
        <f t="shared" si="3"/>
        <v>566</v>
      </c>
    </row>
    <row r="85" spans="7:10" x14ac:dyDescent="0.3">
      <c r="G85">
        <f>both!N93</f>
        <v>0.16320381966576455</v>
      </c>
      <c r="H85">
        <f>soc!N93</f>
        <v>0.35135201983223874</v>
      </c>
      <c r="I85">
        <f t="shared" si="2"/>
        <v>738</v>
      </c>
      <c r="J85">
        <f t="shared" si="3"/>
        <v>912</v>
      </c>
    </row>
    <row r="86" spans="7:10" x14ac:dyDescent="0.3">
      <c r="G86">
        <f>both!N94</f>
        <v>0.41865894046307989</v>
      </c>
      <c r="H86">
        <f>soc!N94</f>
        <v>4.4191345760214931E-5</v>
      </c>
      <c r="I86">
        <f t="shared" si="2"/>
        <v>997</v>
      </c>
      <c r="J86">
        <f t="shared" si="3"/>
        <v>28</v>
      </c>
    </row>
    <row r="87" spans="7:10" x14ac:dyDescent="0.3">
      <c r="G87">
        <f>both!N95</f>
        <v>0.65913504161931957</v>
      </c>
      <c r="H87">
        <f>soc!N95</f>
        <v>2.8683830627552071E-4</v>
      </c>
      <c r="I87">
        <f t="shared" si="2"/>
        <v>1340</v>
      </c>
      <c r="J87">
        <f t="shared" si="3"/>
        <v>97</v>
      </c>
    </row>
    <row r="88" spans="7:10" x14ac:dyDescent="0.3">
      <c r="G88">
        <f>both!N96</f>
        <v>0.69865500545761128</v>
      </c>
      <c r="H88">
        <f>soc!N96</f>
        <v>1.2067385559209328E-2</v>
      </c>
      <c r="I88">
        <f t="shared" si="2"/>
        <v>1406</v>
      </c>
      <c r="J88">
        <f t="shared" si="3"/>
        <v>447</v>
      </c>
    </row>
    <row r="89" spans="7:10" x14ac:dyDescent="0.3">
      <c r="G89">
        <f>both!N97</f>
        <v>0.76651661705117424</v>
      </c>
      <c r="H89">
        <f>soc!N97</f>
        <v>4.4764006157383761E-2</v>
      </c>
      <c r="I89">
        <f t="shared" si="2"/>
        <v>1551</v>
      </c>
      <c r="J89">
        <f t="shared" si="3"/>
        <v>598</v>
      </c>
    </row>
    <row r="90" spans="7:10" x14ac:dyDescent="0.3">
      <c r="G90">
        <f>both!N98</f>
        <v>0.4329560954182749</v>
      </c>
      <c r="H90">
        <f>soc!N98</f>
        <v>8.1753138934619097E-6</v>
      </c>
      <c r="I90">
        <f t="shared" si="2"/>
        <v>1017</v>
      </c>
      <c r="J90">
        <f t="shared" si="3"/>
        <v>8</v>
      </c>
    </row>
    <row r="91" spans="7:10" x14ac:dyDescent="0.3">
      <c r="G91">
        <f>both!N99</f>
        <v>0.87048813384239021</v>
      </c>
      <c r="H91">
        <f>soc!N99</f>
        <v>1.2686090023263604E-4</v>
      </c>
      <c r="I91">
        <f t="shared" si="2"/>
        <v>1770</v>
      </c>
      <c r="J91">
        <f t="shared" si="3"/>
        <v>57</v>
      </c>
    </row>
    <row r="92" spans="7:10" x14ac:dyDescent="0.3">
      <c r="G92">
        <f>both!N100</f>
        <v>0.95755841356151905</v>
      </c>
      <c r="H92">
        <f>soc!N100</f>
        <v>0.65088404175042569</v>
      </c>
      <c r="I92">
        <f t="shared" si="2"/>
        <v>1936</v>
      </c>
      <c r="J92">
        <f t="shared" si="3"/>
        <v>1327</v>
      </c>
    </row>
    <row r="93" spans="7:10" x14ac:dyDescent="0.3">
      <c r="G93">
        <f>both!N101</f>
        <v>0.37807209543102765</v>
      </c>
      <c r="H93">
        <f>soc!N101</f>
        <v>0.79175415691847362</v>
      </c>
      <c r="I93">
        <f t="shared" si="2"/>
        <v>943</v>
      </c>
      <c r="J93">
        <f t="shared" si="3"/>
        <v>1586</v>
      </c>
    </row>
    <row r="94" spans="7:10" x14ac:dyDescent="0.3">
      <c r="G94">
        <f>both!N102</f>
        <v>0.72498501081288991</v>
      </c>
      <c r="H94">
        <f>soc!N102</f>
        <v>0.68081594762953468</v>
      </c>
      <c r="I94">
        <f t="shared" si="2"/>
        <v>1462</v>
      </c>
      <c r="J94">
        <f t="shared" si="3"/>
        <v>1374</v>
      </c>
    </row>
    <row r="95" spans="7:10" x14ac:dyDescent="0.3">
      <c r="G95">
        <f>both!N103</f>
        <v>0.8163597058992984</v>
      </c>
      <c r="H95">
        <f>soc!N103</f>
        <v>0.9349033627406198</v>
      </c>
      <c r="I95">
        <f t="shared" si="2"/>
        <v>1635</v>
      </c>
      <c r="J95">
        <f t="shared" si="3"/>
        <v>1893</v>
      </c>
    </row>
    <row r="96" spans="7:10" x14ac:dyDescent="0.3">
      <c r="G96">
        <f>both!N104</f>
        <v>0.45872473724359858</v>
      </c>
      <c r="H96">
        <f>soc!N104</f>
        <v>4.7434218460314231E-3</v>
      </c>
      <c r="I96">
        <f t="shared" si="2"/>
        <v>1043</v>
      </c>
      <c r="J96">
        <f t="shared" si="3"/>
        <v>335</v>
      </c>
    </row>
    <row r="97" spans="7:10" x14ac:dyDescent="0.3">
      <c r="G97">
        <f>both!N105</f>
        <v>0.86344659597313411</v>
      </c>
      <c r="H97">
        <f>soc!N105</f>
        <v>1.5293368957581855E-4</v>
      </c>
      <c r="I97">
        <f t="shared" si="2"/>
        <v>1745</v>
      </c>
      <c r="J97">
        <f t="shared" si="3"/>
        <v>65</v>
      </c>
    </row>
    <row r="98" spans="7:10" x14ac:dyDescent="0.3">
      <c r="G98">
        <f>both!N106</f>
        <v>0.40539763577729371</v>
      </c>
      <c r="H98">
        <f>soc!N106</f>
        <v>0.89695462265980463</v>
      </c>
      <c r="I98">
        <f t="shared" si="2"/>
        <v>982</v>
      </c>
      <c r="J98">
        <f t="shared" si="3"/>
        <v>1822</v>
      </c>
    </row>
    <row r="99" spans="7:10" x14ac:dyDescent="0.3">
      <c r="G99">
        <f>both!N107</f>
        <v>0.71372043344348191</v>
      </c>
      <c r="H99">
        <f>soc!N107</f>
        <v>0.13758287116332776</v>
      </c>
      <c r="I99">
        <f t="shared" si="2"/>
        <v>1438</v>
      </c>
      <c r="J99">
        <f t="shared" si="3"/>
        <v>722</v>
      </c>
    </row>
    <row r="100" spans="7:10" x14ac:dyDescent="0.3">
      <c r="G100">
        <f>both!N108</f>
        <v>0.48627286765147426</v>
      </c>
      <c r="H100">
        <f>soc!N108</f>
        <v>0.23685120828537079</v>
      </c>
      <c r="I100">
        <f t="shared" si="2"/>
        <v>1079</v>
      </c>
      <c r="J100">
        <f t="shared" si="3"/>
        <v>797</v>
      </c>
    </row>
    <row r="101" spans="7:10" x14ac:dyDescent="0.3">
      <c r="G101">
        <f>both!N109</f>
        <v>0.53679941221457805</v>
      </c>
      <c r="H101">
        <f>soc!N109</f>
        <v>1.0718256266103468E-2</v>
      </c>
      <c r="I101">
        <f t="shared" si="2"/>
        <v>1155</v>
      </c>
      <c r="J101">
        <f t="shared" si="3"/>
        <v>436</v>
      </c>
    </row>
    <row r="102" spans="7:10" x14ac:dyDescent="0.3">
      <c r="G102">
        <f>both!N110</f>
        <v>0.50549826085298444</v>
      </c>
      <c r="H102">
        <f>soc!N110</f>
        <v>2.8270327214674007E-3</v>
      </c>
      <c r="I102">
        <f t="shared" si="2"/>
        <v>1102</v>
      </c>
      <c r="J102">
        <f t="shared" si="3"/>
        <v>277</v>
      </c>
    </row>
    <row r="103" spans="7:10" x14ac:dyDescent="0.3">
      <c r="G103">
        <f>both!N111</f>
        <v>0.94455667246411945</v>
      </c>
      <c r="H103">
        <f>soc!N111</f>
        <v>2.0646914114171726E-2</v>
      </c>
      <c r="I103">
        <f t="shared" si="2"/>
        <v>1911</v>
      </c>
      <c r="J103">
        <f t="shared" si="3"/>
        <v>510</v>
      </c>
    </row>
    <row r="104" spans="7:10" x14ac:dyDescent="0.3">
      <c r="G104">
        <f>both!N112</f>
        <v>0.90058714407456919</v>
      </c>
      <c r="H104">
        <f>soc!N112</f>
        <v>4.7321358043083523E-4</v>
      </c>
      <c r="I104">
        <f t="shared" si="2"/>
        <v>1828</v>
      </c>
      <c r="J104">
        <f t="shared" si="3"/>
        <v>124</v>
      </c>
    </row>
    <row r="105" spans="7:10" x14ac:dyDescent="0.3">
      <c r="G105">
        <f>both!N113</f>
        <v>0.55010547217183037</v>
      </c>
      <c r="H105">
        <f>soc!N113</f>
        <v>9.0012649751261276E-2</v>
      </c>
      <c r="I105">
        <f t="shared" si="2"/>
        <v>1175</v>
      </c>
      <c r="J105">
        <f t="shared" si="3"/>
        <v>673</v>
      </c>
    </row>
    <row r="106" spans="7:10" x14ac:dyDescent="0.3">
      <c r="G106">
        <f>both!N114</f>
        <v>0.93519257530694344</v>
      </c>
      <c r="H106">
        <f>soc!N114</f>
        <v>9.7951014961453579E-3</v>
      </c>
      <c r="I106">
        <f t="shared" si="2"/>
        <v>1894</v>
      </c>
      <c r="J106">
        <f t="shared" si="3"/>
        <v>424</v>
      </c>
    </row>
    <row r="107" spans="7:10" x14ac:dyDescent="0.3">
      <c r="G107">
        <f>both!N115</f>
        <v>0.88207902289354378</v>
      </c>
      <c r="H107">
        <f>soc!N115</f>
        <v>4.8560318995082127E-4</v>
      </c>
      <c r="I107">
        <f t="shared" si="2"/>
        <v>1791</v>
      </c>
      <c r="J107">
        <f t="shared" si="3"/>
        <v>126</v>
      </c>
    </row>
    <row r="108" spans="7:10" x14ac:dyDescent="0.3">
      <c r="G108">
        <f>both!N116</f>
        <v>0.87931175848639687</v>
      </c>
      <c r="H108">
        <f>soc!N116</f>
        <v>2.2135367559160835E-2</v>
      </c>
      <c r="I108">
        <f t="shared" si="2"/>
        <v>1784</v>
      </c>
      <c r="J108">
        <f t="shared" si="3"/>
        <v>519</v>
      </c>
    </row>
    <row r="109" spans="7:10" x14ac:dyDescent="0.3">
      <c r="G109">
        <f>both!N117</f>
        <v>0.54738748683385108</v>
      </c>
      <c r="H109">
        <f>soc!N117</f>
        <v>2.952590983331162E-4</v>
      </c>
      <c r="I109">
        <f t="shared" si="2"/>
        <v>1173</v>
      </c>
      <c r="J109">
        <f t="shared" si="3"/>
        <v>100</v>
      </c>
    </row>
    <row r="110" spans="7:10" x14ac:dyDescent="0.3">
      <c r="G110">
        <f>both!N118</f>
        <v>0.86576634219620618</v>
      </c>
      <c r="H110">
        <f>soc!N118</f>
        <v>0.32225686645669788</v>
      </c>
      <c r="I110">
        <f t="shared" si="2"/>
        <v>1759</v>
      </c>
      <c r="J110">
        <f t="shared" si="3"/>
        <v>873</v>
      </c>
    </row>
    <row r="111" spans="7:10" x14ac:dyDescent="0.3">
      <c r="G111">
        <f>both!N119</f>
        <v>0.88159095841639823</v>
      </c>
      <c r="H111">
        <f>soc!N119</f>
        <v>2.6972934733244033E-4</v>
      </c>
      <c r="I111">
        <f t="shared" si="2"/>
        <v>1790</v>
      </c>
      <c r="J111">
        <f t="shared" si="3"/>
        <v>93</v>
      </c>
    </row>
    <row r="112" spans="7:10" x14ac:dyDescent="0.3">
      <c r="G112">
        <f>both!N120</f>
        <v>0.49528667356909228</v>
      </c>
      <c r="H112">
        <f>soc!N120</f>
        <v>1.9686786104213951E-4</v>
      </c>
      <c r="I112">
        <f t="shared" si="2"/>
        <v>1094</v>
      </c>
      <c r="J112">
        <f t="shared" si="3"/>
        <v>82</v>
      </c>
    </row>
    <row r="113" spans="7:10" x14ac:dyDescent="0.3">
      <c r="G113">
        <f>both!N121</f>
        <v>0.5873670107086747</v>
      </c>
      <c r="H113">
        <f>soc!N121</f>
        <v>2.8411711940689401E-3</v>
      </c>
      <c r="I113">
        <f t="shared" si="2"/>
        <v>1233</v>
      </c>
      <c r="J113">
        <f t="shared" si="3"/>
        <v>279</v>
      </c>
    </row>
    <row r="114" spans="7:10" x14ac:dyDescent="0.3">
      <c r="G114">
        <f>both!N122</f>
        <v>0.89263078672440854</v>
      </c>
      <c r="H114">
        <f>soc!N122</f>
        <v>4.9889122841904696E-3</v>
      </c>
      <c r="I114">
        <f t="shared" si="2"/>
        <v>1814</v>
      </c>
      <c r="J114">
        <f t="shared" si="3"/>
        <v>349</v>
      </c>
    </row>
    <row r="115" spans="7:10" x14ac:dyDescent="0.3">
      <c r="G115">
        <f>both!N123</f>
        <v>0.88004376772324722</v>
      </c>
      <c r="H115">
        <f>soc!N123</f>
        <v>7.1867395529742514E-2</v>
      </c>
      <c r="I115">
        <f t="shared" si="2"/>
        <v>1786</v>
      </c>
      <c r="J115">
        <f t="shared" si="3"/>
        <v>653</v>
      </c>
    </row>
    <row r="116" spans="7:10" x14ac:dyDescent="0.3">
      <c r="G116">
        <f>both!N124</f>
        <v>0.54690335812618429</v>
      </c>
      <c r="H116">
        <f>soc!N124</f>
        <v>1.2501402194245045E-2</v>
      </c>
      <c r="I116">
        <f t="shared" si="2"/>
        <v>1172</v>
      </c>
      <c r="J116">
        <f t="shared" si="3"/>
        <v>451</v>
      </c>
    </row>
    <row r="117" spans="7:10" x14ac:dyDescent="0.3">
      <c r="G117">
        <f>both!N125</f>
        <v>0.56379101612023952</v>
      </c>
      <c r="H117">
        <f>soc!N125</f>
        <v>0.99994527537050359</v>
      </c>
      <c r="I117">
        <f t="shared" si="2"/>
        <v>1198</v>
      </c>
      <c r="J117">
        <f t="shared" si="3"/>
        <v>1996</v>
      </c>
    </row>
    <row r="118" spans="7:10" x14ac:dyDescent="0.3">
      <c r="G118">
        <f>both!N126</f>
        <v>0.77139348061176904</v>
      </c>
      <c r="H118">
        <f>soc!N126</f>
        <v>3.0148935335104661E-3</v>
      </c>
      <c r="I118">
        <f t="shared" si="2"/>
        <v>1559</v>
      </c>
      <c r="J118">
        <f t="shared" si="3"/>
        <v>285</v>
      </c>
    </row>
    <row r="119" spans="7:10" x14ac:dyDescent="0.3">
      <c r="G119">
        <f>both!N127</f>
        <v>0.93567167362307502</v>
      </c>
      <c r="H119">
        <f>soc!N127</f>
        <v>1.0004249326779201E-4</v>
      </c>
      <c r="I119">
        <f t="shared" si="2"/>
        <v>1896</v>
      </c>
      <c r="J119">
        <f t="shared" si="3"/>
        <v>52</v>
      </c>
    </row>
    <row r="120" spans="7:10" x14ac:dyDescent="0.3">
      <c r="G120">
        <f>both!N128</f>
        <v>0.88655069783623885</v>
      </c>
      <c r="H120">
        <f>soc!N128</f>
        <v>4.045194326855579E-4</v>
      </c>
      <c r="I120">
        <f t="shared" si="2"/>
        <v>1802</v>
      </c>
      <c r="J120">
        <f t="shared" si="3"/>
        <v>117</v>
      </c>
    </row>
    <row r="121" spans="7:10" x14ac:dyDescent="0.3">
      <c r="G121">
        <f>both!N129</f>
        <v>0.77446828772042942</v>
      </c>
      <c r="H121">
        <f>soc!N129</f>
        <v>1.8048869056722688E-2</v>
      </c>
      <c r="I121">
        <f t="shared" si="2"/>
        <v>1562</v>
      </c>
      <c r="J121">
        <f t="shared" si="3"/>
        <v>495</v>
      </c>
    </row>
    <row r="122" spans="7:10" x14ac:dyDescent="0.3">
      <c r="G122">
        <f>both!N130</f>
        <v>0.54199983358448012</v>
      </c>
      <c r="H122">
        <f>soc!N130</f>
        <v>2.2869263554998551E-3</v>
      </c>
      <c r="I122">
        <f t="shared" si="2"/>
        <v>1162</v>
      </c>
      <c r="J122">
        <f t="shared" si="3"/>
        <v>262</v>
      </c>
    </row>
    <row r="123" spans="7:10" x14ac:dyDescent="0.3">
      <c r="G123">
        <f>both!N131</f>
        <v>0.87370499162455384</v>
      </c>
      <c r="H123">
        <f>soc!N131</f>
        <v>2.8449992283626855E-3</v>
      </c>
      <c r="I123">
        <f t="shared" si="2"/>
        <v>1775</v>
      </c>
      <c r="J123">
        <f t="shared" si="3"/>
        <v>280</v>
      </c>
    </row>
    <row r="124" spans="7:10" x14ac:dyDescent="0.3">
      <c r="G124">
        <f>both!N132</f>
        <v>0.42670228830860735</v>
      </c>
      <c r="H124">
        <f>soc!N132</f>
        <v>8.0124002766891267E-4</v>
      </c>
      <c r="I124">
        <f t="shared" si="2"/>
        <v>1006</v>
      </c>
      <c r="J124">
        <f t="shared" si="3"/>
        <v>156</v>
      </c>
    </row>
    <row r="125" spans="7:10" x14ac:dyDescent="0.3">
      <c r="G125">
        <f>both!N133</f>
        <v>0.78174726879033307</v>
      </c>
      <c r="H125">
        <f>soc!N133</f>
        <v>7.6586080382286324E-4</v>
      </c>
      <c r="I125">
        <f t="shared" si="2"/>
        <v>1573</v>
      </c>
      <c r="J125">
        <f t="shared" si="3"/>
        <v>153</v>
      </c>
    </row>
    <row r="126" spans="7:10" x14ac:dyDescent="0.3">
      <c r="G126">
        <f>both!N134</f>
        <v>0.42129980239549797</v>
      </c>
      <c r="H126">
        <f>soc!N134</f>
        <v>1.4064759617716908E-3</v>
      </c>
      <c r="I126">
        <f t="shared" si="2"/>
        <v>1001</v>
      </c>
      <c r="J126">
        <f t="shared" si="3"/>
        <v>207</v>
      </c>
    </row>
    <row r="127" spans="7:10" x14ac:dyDescent="0.3">
      <c r="G127">
        <f>both!N135</f>
        <v>0.66558504317458445</v>
      </c>
      <c r="H127">
        <f>soc!N135</f>
        <v>0.58680148595071591</v>
      </c>
      <c r="I127">
        <f t="shared" si="2"/>
        <v>1358</v>
      </c>
      <c r="J127">
        <f t="shared" si="3"/>
        <v>1230</v>
      </c>
    </row>
    <row r="128" spans="7:10" x14ac:dyDescent="0.3">
      <c r="G128">
        <f>both!N136</f>
        <v>0.55035172934896015</v>
      </c>
      <c r="H128">
        <f>soc!N136</f>
        <v>0.99993988524567323</v>
      </c>
      <c r="I128">
        <f t="shared" si="2"/>
        <v>1177</v>
      </c>
      <c r="J128">
        <f t="shared" si="3"/>
        <v>1995</v>
      </c>
    </row>
    <row r="129" spans="7:10" x14ac:dyDescent="0.3">
      <c r="G129">
        <f>both!N137</f>
        <v>0.63307741964583064</v>
      </c>
      <c r="H129">
        <f>soc!N137</f>
        <v>1.4291881905262493E-2</v>
      </c>
      <c r="I129">
        <f t="shared" si="2"/>
        <v>1303</v>
      </c>
      <c r="J129">
        <f t="shared" si="3"/>
        <v>465</v>
      </c>
    </row>
    <row r="130" spans="7:10" x14ac:dyDescent="0.3">
      <c r="G130">
        <f>both!N138</f>
        <v>0.50463593398848139</v>
      </c>
      <c r="H130">
        <f>soc!N138</f>
        <v>0.74062682813487024</v>
      </c>
      <c r="I130">
        <f t="shared" si="2"/>
        <v>1100</v>
      </c>
      <c r="J130">
        <f t="shared" si="3"/>
        <v>1495</v>
      </c>
    </row>
    <row r="131" spans="7:10" x14ac:dyDescent="0.3">
      <c r="G131">
        <f>both!N139</f>
        <v>0.520794051622539</v>
      </c>
      <c r="H131">
        <f>soc!N139</f>
        <v>3.2095334881290516E-2</v>
      </c>
      <c r="I131">
        <f t="shared" si="2"/>
        <v>1131</v>
      </c>
      <c r="J131">
        <f t="shared" si="3"/>
        <v>557</v>
      </c>
    </row>
    <row r="132" spans="7:10" x14ac:dyDescent="0.3">
      <c r="G132">
        <f>both!N140</f>
        <v>0.36868129755497075</v>
      </c>
      <c r="H132">
        <f>soc!N140</f>
        <v>0.26307483306026846</v>
      </c>
      <c r="I132">
        <f t="shared" si="2"/>
        <v>934</v>
      </c>
      <c r="J132">
        <f t="shared" si="3"/>
        <v>818</v>
      </c>
    </row>
    <row r="133" spans="7:10" x14ac:dyDescent="0.3">
      <c r="G133">
        <f>both!N141</f>
        <v>0.86388276411905263</v>
      </c>
      <c r="H133">
        <f>soc!N141</f>
        <v>0.40477216104299124</v>
      </c>
      <c r="I133">
        <f t="shared" ref="I133:I196" si="4">RANK(G133,$G$4:$H$1004,1) + (COUNTIF($G$4:$H$1004,G133)-1)/2</f>
        <v>1749</v>
      </c>
      <c r="J133">
        <f t="shared" ref="J133:J196" si="5">RANK(H133,$G$4:$H$1004,1) + (COUNTIF($G$4:$H$1004,H133)-1)/2</f>
        <v>981</v>
      </c>
    </row>
    <row r="134" spans="7:10" x14ac:dyDescent="0.3">
      <c r="G134">
        <f>both!N142</f>
        <v>0.71609891389685032</v>
      </c>
      <c r="H134">
        <f>soc!N142</f>
        <v>2.4225127251775166E-2</v>
      </c>
      <c r="I134">
        <f t="shared" si="4"/>
        <v>1443</v>
      </c>
      <c r="J134">
        <f t="shared" si="5"/>
        <v>531</v>
      </c>
    </row>
    <row r="135" spans="7:10" x14ac:dyDescent="0.3">
      <c r="G135">
        <f>both!N143</f>
        <v>0.6392457617228845</v>
      </c>
      <c r="H135">
        <f>soc!N143</f>
        <v>9.1049570012733602E-3</v>
      </c>
      <c r="I135">
        <f t="shared" si="4"/>
        <v>1313</v>
      </c>
      <c r="J135">
        <f t="shared" si="5"/>
        <v>418</v>
      </c>
    </row>
    <row r="136" spans="7:10" x14ac:dyDescent="0.3">
      <c r="G136">
        <f>both!N144</f>
        <v>0.94057333400952181</v>
      </c>
      <c r="H136">
        <f>soc!N144</f>
        <v>0.86138623295624306</v>
      </c>
      <c r="I136">
        <f t="shared" si="4"/>
        <v>1905</v>
      </c>
      <c r="J136">
        <f t="shared" si="5"/>
        <v>1740</v>
      </c>
    </row>
    <row r="137" spans="7:10" x14ac:dyDescent="0.3">
      <c r="G137">
        <f>both!N145</f>
        <v>0.80476023543046027</v>
      </c>
      <c r="H137">
        <f>soc!N145</f>
        <v>4.7850125620912103E-3</v>
      </c>
      <c r="I137">
        <f t="shared" si="4"/>
        <v>1615</v>
      </c>
      <c r="J137">
        <f t="shared" si="5"/>
        <v>337</v>
      </c>
    </row>
    <row r="138" spans="7:10" x14ac:dyDescent="0.3">
      <c r="G138">
        <f>both!N146</f>
        <v>0.23059731498359351</v>
      </c>
      <c r="H138">
        <f>soc!N146</f>
        <v>2.0726458329382472E-3</v>
      </c>
      <c r="I138">
        <f t="shared" si="4"/>
        <v>792</v>
      </c>
      <c r="J138">
        <f t="shared" si="5"/>
        <v>254</v>
      </c>
    </row>
    <row r="139" spans="7:10" x14ac:dyDescent="0.3">
      <c r="G139">
        <f>both!N147</f>
        <v>0.78339463121644959</v>
      </c>
      <c r="H139">
        <f>soc!N147</f>
        <v>7.8082371743898649E-2</v>
      </c>
      <c r="I139">
        <f t="shared" si="4"/>
        <v>1574</v>
      </c>
      <c r="J139">
        <f t="shared" si="5"/>
        <v>659</v>
      </c>
    </row>
    <row r="140" spans="7:10" x14ac:dyDescent="0.3">
      <c r="G140">
        <f>both!N148</f>
        <v>0.98586640345271925</v>
      </c>
      <c r="H140">
        <f>soc!N148</f>
        <v>4.0138791160720722E-2</v>
      </c>
      <c r="I140">
        <f t="shared" si="4"/>
        <v>1975</v>
      </c>
      <c r="J140">
        <f t="shared" si="5"/>
        <v>584</v>
      </c>
    </row>
    <row r="141" spans="7:10" x14ac:dyDescent="0.3">
      <c r="G141">
        <f>both!N149</f>
        <v>0.66088502210459066</v>
      </c>
      <c r="H141">
        <f>soc!N149</f>
        <v>0.19521354434959715</v>
      </c>
      <c r="I141">
        <f t="shared" si="4"/>
        <v>1348</v>
      </c>
      <c r="J141">
        <f t="shared" si="5"/>
        <v>769</v>
      </c>
    </row>
    <row r="142" spans="7:10" x14ac:dyDescent="0.3">
      <c r="G142">
        <f>both!N150</f>
        <v>0.70021876484329504</v>
      </c>
      <c r="H142">
        <f>soc!N150</f>
        <v>9.6122196173547558E-3</v>
      </c>
      <c r="I142">
        <f t="shared" si="4"/>
        <v>1412</v>
      </c>
      <c r="J142">
        <f t="shared" si="5"/>
        <v>423</v>
      </c>
    </row>
    <row r="143" spans="7:10" x14ac:dyDescent="0.3">
      <c r="G143">
        <f>both!N151</f>
        <v>0.49472618358902276</v>
      </c>
      <c r="H143">
        <f>soc!N151</f>
        <v>1.2111712735427035E-3</v>
      </c>
      <c r="I143">
        <f t="shared" si="4"/>
        <v>1093</v>
      </c>
      <c r="J143">
        <f t="shared" si="5"/>
        <v>190</v>
      </c>
    </row>
    <row r="144" spans="7:10" x14ac:dyDescent="0.3">
      <c r="G144">
        <f>both!N152</f>
        <v>0.86150580089340878</v>
      </c>
      <c r="H144">
        <f>soc!N152</f>
        <v>2.6601012425606054E-2</v>
      </c>
      <c r="I144">
        <f t="shared" si="4"/>
        <v>1741</v>
      </c>
      <c r="J144">
        <f t="shared" si="5"/>
        <v>540</v>
      </c>
    </row>
    <row r="145" spans="7:10" x14ac:dyDescent="0.3">
      <c r="G145">
        <f>both!N153</f>
        <v>0.86623383919326424</v>
      </c>
      <c r="H145">
        <f>soc!N153</f>
        <v>1.2687096429774378E-2</v>
      </c>
      <c r="I145">
        <f t="shared" si="4"/>
        <v>1760</v>
      </c>
      <c r="J145">
        <f t="shared" si="5"/>
        <v>452</v>
      </c>
    </row>
    <row r="146" spans="7:10" x14ac:dyDescent="0.3">
      <c r="G146">
        <f>both!N154</f>
        <v>0.78523985654244155</v>
      </c>
      <c r="H146">
        <f>soc!N154</f>
        <v>6.0690369492277373E-2</v>
      </c>
      <c r="I146">
        <f t="shared" si="4"/>
        <v>1577</v>
      </c>
      <c r="J146">
        <f t="shared" si="5"/>
        <v>635</v>
      </c>
    </row>
    <row r="147" spans="7:10" x14ac:dyDescent="0.3">
      <c r="G147">
        <f>both!N155</f>
        <v>0.52979976354770064</v>
      </c>
      <c r="H147">
        <f>soc!N155</f>
        <v>3.6475571144978992E-2</v>
      </c>
      <c r="I147">
        <f t="shared" si="4"/>
        <v>1145</v>
      </c>
      <c r="J147">
        <f t="shared" si="5"/>
        <v>573</v>
      </c>
    </row>
    <row r="148" spans="7:10" x14ac:dyDescent="0.3">
      <c r="G148">
        <f>both!N156</f>
        <v>0.62381152307606025</v>
      </c>
      <c r="H148">
        <f>soc!N156</f>
        <v>1.7834952222300696E-3</v>
      </c>
      <c r="I148">
        <f t="shared" si="4"/>
        <v>1288</v>
      </c>
      <c r="J148">
        <f t="shared" si="5"/>
        <v>237</v>
      </c>
    </row>
    <row r="149" spans="7:10" x14ac:dyDescent="0.3">
      <c r="G149">
        <f>both!N157</f>
        <v>0.64969156555528007</v>
      </c>
      <c r="H149">
        <f>soc!N157</f>
        <v>1.2783136891747913E-5</v>
      </c>
      <c r="I149">
        <f t="shared" si="4"/>
        <v>1323</v>
      </c>
      <c r="J149">
        <f t="shared" si="5"/>
        <v>13</v>
      </c>
    </row>
    <row r="150" spans="7:10" x14ac:dyDescent="0.3">
      <c r="G150">
        <f>both!N158</f>
        <v>0.6747435441000178</v>
      </c>
      <c r="H150">
        <f>soc!N158</f>
        <v>1.3992599311352454E-2</v>
      </c>
      <c r="I150">
        <f t="shared" si="4"/>
        <v>1368</v>
      </c>
      <c r="J150">
        <f t="shared" si="5"/>
        <v>461</v>
      </c>
    </row>
    <row r="151" spans="7:10" x14ac:dyDescent="0.3">
      <c r="G151">
        <f>both!N159</f>
        <v>0.68177829439352622</v>
      </c>
      <c r="H151">
        <f>soc!N159</f>
        <v>0.1050093785989734</v>
      </c>
      <c r="I151">
        <f t="shared" si="4"/>
        <v>1376</v>
      </c>
      <c r="J151">
        <f t="shared" si="5"/>
        <v>690</v>
      </c>
    </row>
    <row r="152" spans="7:10" x14ac:dyDescent="0.3">
      <c r="G152">
        <f>both!N160</f>
        <v>0.82738023304114694</v>
      </c>
      <c r="H152">
        <f>soc!N160</f>
        <v>0.28942642326397389</v>
      </c>
      <c r="I152">
        <f t="shared" si="4"/>
        <v>1656</v>
      </c>
      <c r="J152">
        <f t="shared" si="5"/>
        <v>838</v>
      </c>
    </row>
    <row r="153" spans="7:10" x14ac:dyDescent="0.3">
      <c r="G153">
        <f>both!N161</f>
        <v>0.66015957809775383</v>
      </c>
      <c r="H153">
        <f>soc!N161</f>
        <v>0.99960271323198879</v>
      </c>
      <c r="I153">
        <f t="shared" si="4"/>
        <v>1346</v>
      </c>
      <c r="J153">
        <f t="shared" si="5"/>
        <v>1991</v>
      </c>
    </row>
    <row r="154" spans="7:10" x14ac:dyDescent="0.3">
      <c r="G154">
        <f>both!N162</f>
        <v>0.44847709160413918</v>
      </c>
      <c r="H154">
        <f>soc!N162</f>
        <v>3.5833776057263046E-2</v>
      </c>
      <c r="I154">
        <f t="shared" si="4"/>
        <v>1025</v>
      </c>
      <c r="J154">
        <f t="shared" si="5"/>
        <v>571</v>
      </c>
    </row>
    <row r="155" spans="7:10" x14ac:dyDescent="0.3">
      <c r="G155">
        <f>both!N163</f>
        <v>0.95511052164780785</v>
      </c>
      <c r="H155">
        <f>soc!N163</f>
        <v>0.27496815048157991</v>
      </c>
      <c r="I155">
        <f t="shared" si="4"/>
        <v>1933</v>
      </c>
      <c r="J155">
        <f t="shared" si="5"/>
        <v>830</v>
      </c>
    </row>
    <row r="156" spans="7:10" x14ac:dyDescent="0.3">
      <c r="G156">
        <f>both!N164</f>
        <v>0.66088555906732671</v>
      </c>
      <c r="H156">
        <f>soc!N164</f>
        <v>0.22503280259980485</v>
      </c>
      <c r="I156">
        <f t="shared" si="4"/>
        <v>1349</v>
      </c>
      <c r="J156">
        <f t="shared" si="5"/>
        <v>788</v>
      </c>
    </row>
    <row r="157" spans="7:10" x14ac:dyDescent="0.3">
      <c r="G157">
        <f>both!N165</f>
        <v>0.71698783739150929</v>
      </c>
      <c r="H157">
        <f>soc!N165</f>
        <v>0.97634371809523457</v>
      </c>
      <c r="I157">
        <f t="shared" si="4"/>
        <v>1447</v>
      </c>
      <c r="J157">
        <f t="shared" si="5"/>
        <v>1962</v>
      </c>
    </row>
    <row r="158" spans="7:10" x14ac:dyDescent="0.3">
      <c r="G158">
        <f>both!N166</f>
        <v>0.92418262648074223</v>
      </c>
      <c r="H158">
        <f>soc!N166</f>
        <v>1.6266203507481548E-3</v>
      </c>
      <c r="I158">
        <f t="shared" si="4"/>
        <v>1875</v>
      </c>
      <c r="J158">
        <f t="shared" si="5"/>
        <v>224</v>
      </c>
    </row>
    <row r="159" spans="7:10" x14ac:dyDescent="0.3">
      <c r="G159">
        <f>both!N167</f>
        <v>0.48534234145837601</v>
      </c>
      <c r="H159">
        <f>soc!N167</f>
        <v>7.1218294773937765E-4</v>
      </c>
      <c r="I159">
        <f t="shared" si="4"/>
        <v>1078</v>
      </c>
      <c r="J159">
        <f t="shared" si="5"/>
        <v>150</v>
      </c>
    </row>
    <row r="160" spans="7:10" x14ac:dyDescent="0.3">
      <c r="G160">
        <f>both!N168</f>
        <v>0.38623147569259242</v>
      </c>
      <c r="H160">
        <f>soc!N168</f>
        <v>0.24438152166774016</v>
      </c>
      <c r="I160">
        <f t="shared" si="4"/>
        <v>958</v>
      </c>
      <c r="J160">
        <f t="shared" si="5"/>
        <v>801</v>
      </c>
    </row>
    <row r="161" spans="7:10" x14ac:dyDescent="0.3">
      <c r="G161">
        <f>both!N169</f>
        <v>0.25140748089340653</v>
      </c>
      <c r="H161">
        <f>soc!N169</f>
        <v>0.9991814686535444</v>
      </c>
      <c r="I161">
        <f t="shared" si="4"/>
        <v>806</v>
      </c>
      <c r="J161">
        <f t="shared" si="5"/>
        <v>1989</v>
      </c>
    </row>
    <row r="162" spans="7:10" x14ac:dyDescent="0.3">
      <c r="G162">
        <f>both!N170</f>
        <v>0.39215503240780142</v>
      </c>
      <c r="H162">
        <f>soc!N170</f>
        <v>8.3244103734532712E-2</v>
      </c>
      <c r="I162">
        <f t="shared" si="4"/>
        <v>965</v>
      </c>
      <c r="J162">
        <f t="shared" si="5"/>
        <v>664</v>
      </c>
    </row>
    <row r="163" spans="7:10" x14ac:dyDescent="0.3">
      <c r="G163">
        <f>both!N171</f>
        <v>0.82857139489098763</v>
      </c>
      <c r="H163">
        <f>soc!N171</f>
        <v>3.0648007544968468E-2</v>
      </c>
      <c r="I163">
        <f t="shared" si="4"/>
        <v>1661</v>
      </c>
      <c r="J163">
        <f t="shared" si="5"/>
        <v>551</v>
      </c>
    </row>
    <row r="164" spans="7:10" x14ac:dyDescent="0.3">
      <c r="G164">
        <f>both!N172</f>
        <v>0.24190764283604491</v>
      </c>
      <c r="H164">
        <f>soc!N172</f>
        <v>1.4083388878937433E-5</v>
      </c>
      <c r="I164">
        <f t="shared" si="4"/>
        <v>800</v>
      </c>
      <c r="J164">
        <f t="shared" si="5"/>
        <v>14</v>
      </c>
    </row>
    <row r="165" spans="7:10" x14ac:dyDescent="0.3">
      <c r="G165">
        <f>both!N173</f>
        <v>0.81193663273578653</v>
      </c>
      <c r="H165">
        <f>soc!N173</f>
        <v>5.4449552857737282E-2</v>
      </c>
      <c r="I165">
        <f t="shared" si="4"/>
        <v>1625</v>
      </c>
      <c r="J165">
        <f t="shared" si="5"/>
        <v>622</v>
      </c>
    </row>
    <row r="166" spans="7:10" x14ac:dyDescent="0.3">
      <c r="G166">
        <f>both!N174</f>
        <v>0.71113776840886245</v>
      </c>
      <c r="H166">
        <f>soc!N174</f>
        <v>4.5906856258455796E-4</v>
      </c>
      <c r="I166">
        <f t="shared" si="4"/>
        <v>1434</v>
      </c>
      <c r="J166">
        <f t="shared" si="5"/>
        <v>122</v>
      </c>
    </row>
    <row r="167" spans="7:10" x14ac:dyDescent="0.3">
      <c r="G167">
        <f>both!N175</f>
        <v>0.34281928578753074</v>
      </c>
      <c r="H167">
        <f>soc!N175</f>
        <v>1.5216940596893939E-4</v>
      </c>
      <c r="I167">
        <f t="shared" si="4"/>
        <v>904</v>
      </c>
      <c r="J167">
        <f t="shared" si="5"/>
        <v>64</v>
      </c>
    </row>
    <row r="168" spans="7:10" x14ac:dyDescent="0.3">
      <c r="G168">
        <f>both!N176</f>
        <v>0.82477974860157377</v>
      </c>
      <c r="H168">
        <f>soc!N176</f>
        <v>3.2679604631037182E-2</v>
      </c>
      <c r="I168">
        <f t="shared" si="4"/>
        <v>1654</v>
      </c>
      <c r="J168">
        <f t="shared" si="5"/>
        <v>564</v>
      </c>
    </row>
    <row r="169" spans="7:10" x14ac:dyDescent="0.3">
      <c r="G169">
        <f>both!N177</f>
        <v>0.5569020453936594</v>
      </c>
      <c r="H169">
        <f>soc!N177</f>
        <v>8.1059452929216329E-3</v>
      </c>
      <c r="I169">
        <f t="shared" si="4"/>
        <v>1184</v>
      </c>
      <c r="J169">
        <f t="shared" si="5"/>
        <v>399</v>
      </c>
    </row>
    <row r="170" spans="7:10" x14ac:dyDescent="0.3">
      <c r="G170">
        <f>both!N178</f>
        <v>0.51194999730545865</v>
      </c>
      <c r="H170">
        <f>soc!N178</f>
        <v>7.0240037988869242E-2</v>
      </c>
      <c r="I170">
        <f t="shared" si="4"/>
        <v>1113</v>
      </c>
      <c r="J170">
        <f t="shared" si="5"/>
        <v>651</v>
      </c>
    </row>
    <row r="171" spans="7:10" x14ac:dyDescent="0.3">
      <c r="G171">
        <f>both!N179</f>
        <v>0.96486806973561645</v>
      </c>
      <c r="H171">
        <f>soc!N179</f>
        <v>2.9155499183533278E-3</v>
      </c>
      <c r="I171">
        <f t="shared" si="4"/>
        <v>1944</v>
      </c>
      <c r="J171">
        <f t="shared" si="5"/>
        <v>283</v>
      </c>
    </row>
    <row r="172" spans="7:10" x14ac:dyDescent="0.3">
      <c r="G172">
        <f>both!N180</f>
        <v>0.56925396738282763</v>
      </c>
      <c r="H172">
        <f>soc!N180</f>
        <v>1.443172844000476E-6</v>
      </c>
      <c r="I172">
        <f t="shared" si="4"/>
        <v>1207</v>
      </c>
      <c r="J172">
        <f t="shared" si="5"/>
        <v>1</v>
      </c>
    </row>
    <row r="173" spans="7:10" x14ac:dyDescent="0.3">
      <c r="G173">
        <f>both!N181</f>
        <v>0.75559674071040184</v>
      </c>
      <c r="H173">
        <f>soc!N181</f>
        <v>1.9372391296688162E-4</v>
      </c>
      <c r="I173">
        <f t="shared" si="4"/>
        <v>1525</v>
      </c>
      <c r="J173">
        <f t="shared" si="5"/>
        <v>79</v>
      </c>
    </row>
    <row r="174" spans="7:10" x14ac:dyDescent="0.3">
      <c r="G174">
        <f>both!N182</f>
        <v>0.75646236979718418</v>
      </c>
      <c r="H174">
        <f>soc!N182</f>
        <v>5.9597975548240825E-2</v>
      </c>
      <c r="I174">
        <f t="shared" si="4"/>
        <v>1529</v>
      </c>
      <c r="J174">
        <f t="shared" si="5"/>
        <v>633</v>
      </c>
    </row>
    <row r="175" spans="7:10" x14ac:dyDescent="0.3">
      <c r="G175">
        <f>both!N183</f>
        <v>0.38864197319924232</v>
      </c>
      <c r="H175">
        <f>soc!N183</f>
        <v>1.7564568960836845E-3</v>
      </c>
      <c r="I175">
        <f t="shared" si="4"/>
        <v>960</v>
      </c>
      <c r="J175">
        <f t="shared" si="5"/>
        <v>232</v>
      </c>
    </row>
    <row r="176" spans="7:10" x14ac:dyDescent="0.3">
      <c r="G176">
        <f>both!N184</f>
        <v>0.86826633562980837</v>
      </c>
      <c r="H176">
        <f>soc!N184</f>
        <v>0.50721642001547129</v>
      </c>
      <c r="I176">
        <f t="shared" si="4"/>
        <v>1766</v>
      </c>
      <c r="J176">
        <f t="shared" si="5"/>
        <v>1106</v>
      </c>
    </row>
    <row r="177" spans="7:10" x14ac:dyDescent="0.3">
      <c r="G177">
        <f>both!N185</f>
        <v>0.82313700132045864</v>
      </c>
      <c r="H177">
        <f>soc!N185</f>
        <v>1.8520167979828202E-2</v>
      </c>
      <c r="I177">
        <f t="shared" si="4"/>
        <v>1647</v>
      </c>
      <c r="J177">
        <f t="shared" si="5"/>
        <v>499</v>
      </c>
    </row>
    <row r="178" spans="7:10" x14ac:dyDescent="0.3">
      <c r="G178">
        <f>both!N186</f>
        <v>0.89011239364583383</v>
      </c>
      <c r="H178">
        <f>soc!N186</f>
        <v>0.99999999999999989</v>
      </c>
      <c r="I178">
        <f t="shared" si="4"/>
        <v>1807</v>
      </c>
      <c r="J178">
        <f t="shared" si="5"/>
        <v>2002</v>
      </c>
    </row>
    <row r="179" spans="7:10" x14ac:dyDescent="0.3">
      <c r="G179">
        <f>both!N187</f>
        <v>0.59800976805702566</v>
      </c>
      <c r="H179">
        <f>soc!N187</f>
        <v>2.8473919990832942E-4</v>
      </c>
      <c r="I179">
        <f t="shared" si="4"/>
        <v>1255</v>
      </c>
      <c r="J179">
        <f t="shared" si="5"/>
        <v>96</v>
      </c>
    </row>
    <row r="180" spans="7:10" x14ac:dyDescent="0.3">
      <c r="G180">
        <f>both!N188</f>
        <v>0.75397296051551432</v>
      </c>
      <c r="H180">
        <f>soc!N188</f>
        <v>0.63277554693669646</v>
      </c>
      <c r="I180">
        <f t="shared" si="4"/>
        <v>1519</v>
      </c>
      <c r="J180">
        <f t="shared" si="5"/>
        <v>1301</v>
      </c>
    </row>
    <row r="181" spans="7:10" x14ac:dyDescent="0.3">
      <c r="G181">
        <f>both!N189</f>
        <v>0.4815427348573903</v>
      </c>
      <c r="H181">
        <f>soc!N189</f>
        <v>1.3165674513023744E-2</v>
      </c>
      <c r="I181">
        <f t="shared" si="4"/>
        <v>1067</v>
      </c>
      <c r="J181">
        <f t="shared" si="5"/>
        <v>456</v>
      </c>
    </row>
    <row r="182" spans="7:10" x14ac:dyDescent="0.3">
      <c r="G182">
        <f>both!N190</f>
        <v>0.83150101166082324</v>
      </c>
      <c r="H182">
        <f>soc!N190</f>
        <v>0.79865597566015023</v>
      </c>
      <c r="I182">
        <f t="shared" si="4"/>
        <v>1673</v>
      </c>
      <c r="J182">
        <f t="shared" si="5"/>
        <v>1603</v>
      </c>
    </row>
    <row r="183" spans="7:10" x14ac:dyDescent="0.3">
      <c r="G183">
        <f>both!N191</f>
        <v>0.38489576932569269</v>
      </c>
      <c r="H183">
        <f>soc!N191</f>
        <v>0.71969931709780866</v>
      </c>
      <c r="I183">
        <f t="shared" si="4"/>
        <v>954</v>
      </c>
      <c r="J183">
        <f t="shared" si="5"/>
        <v>1451</v>
      </c>
    </row>
    <row r="184" spans="7:10" x14ac:dyDescent="0.3">
      <c r="G184">
        <f>both!N192</f>
        <v>0.66666264745870207</v>
      </c>
      <c r="H184">
        <f>soc!N192</f>
        <v>1.7598254143754175E-3</v>
      </c>
      <c r="I184">
        <f t="shared" si="4"/>
        <v>1360</v>
      </c>
      <c r="J184">
        <f t="shared" si="5"/>
        <v>233</v>
      </c>
    </row>
    <row r="185" spans="7:10" x14ac:dyDescent="0.3">
      <c r="G185">
        <f>both!N193</f>
        <v>0.22426731660610486</v>
      </c>
      <c r="H185">
        <f>soc!N193</f>
        <v>5.575211158824777E-2</v>
      </c>
      <c r="I185">
        <f t="shared" si="4"/>
        <v>785</v>
      </c>
      <c r="J185">
        <f t="shared" si="5"/>
        <v>624</v>
      </c>
    </row>
    <row r="186" spans="7:10" x14ac:dyDescent="0.3">
      <c r="G186">
        <f>both!N194</f>
        <v>0.42868558005671009</v>
      </c>
      <c r="H186">
        <f>soc!N194</f>
        <v>3.1497223394783086E-2</v>
      </c>
      <c r="I186">
        <f t="shared" si="4"/>
        <v>1008</v>
      </c>
      <c r="J186">
        <f t="shared" si="5"/>
        <v>555</v>
      </c>
    </row>
    <row r="187" spans="7:10" x14ac:dyDescent="0.3">
      <c r="G187">
        <f>both!N195</f>
        <v>0.45123178567307093</v>
      </c>
      <c r="H187">
        <f>soc!N195</f>
        <v>1.7191662600201851E-3</v>
      </c>
      <c r="I187">
        <f t="shared" si="4"/>
        <v>1028</v>
      </c>
      <c r="J187">
        <f t="shared" si="5"/>
        <v>229</v>
      </c>
    </row>
    <row r="188" spans="7:10" x14ac:dyDescent="0.3">
      <c r="G188">
        <f>both!N196</f>
        <v>0.83832383661526522</v>
      </c>
      <c r="H188">
        <f>soc!N196</f>
        <v>0.90011542030294134</v>
      </c>
      <c r="I188">
        <f t="shared" si="4"/>
        <v>1687</v>
      </c>
      <c r="J188">
        <f t="shared" si="5"/>
        <v>1827</v>
      </c>
    </row>
    <row r="189" spans="7:10" x14ac:dyDescent="0.3">
      <c r="G189">
        <f>both!N197</f>
        <v>0.67977861445070265</v>
      </c>
      <c r="H189">
        <f>soc!N197</f>
        <v>1.4741684434989591E-2</v>
      </c>
      <c r="I189">
        <f t="shared" si="4"/>
        <v>1373</v>
      </c>
      <c r="J189">
        <f t="shared" si="5"/>
        <v>469</v>
      </c>
    </row>
    <row r="190" spans="7:10" x14ac:dyDescent="0.3">
      <c r="G190">
        <f>both!N198</f>
        <v>0.88544527540505324</v>
      </c>
      <c r="H190">
        <f>soc!N198</f>
        <v>1.2876936949721907E-2</v>
      </c>
      <c r="I190">
        <f t="shared" si="4"/>
        <v>1800</v>
      </c>
      <c r="J190">
        <f t="shared" si="5"/>
        <v>453</v>
      </c>
    </row>
    <row r="191" spans="7:10" x14ac:dyDescent="0.3">
      <c r="G191">
        <f>both!N199</f>
        <v>0.50415131177504535</v>
      </c>
      <c r="H191">
        <f>soc!N199</f>
        <v>1.684970514519845E-2</v>
      </c>
      <c r="I191">
        <f t="shared" si="4"/>
        <v>1098</v>
      </c>
      <c r="J191">
        <f t="shared" si="5"/>
        <v>481</v>
      </c>
    </row>
    <row r="192" spans="7:10" x14ac:dyDescent="0.3">
      <c r="G192">
        <f>both!N200</f>
        <v>0.56918913282813288</v>
      </c>
      <c r="H192">
        <f>soc!N200</f>
        <v>2.367431892026081E-4</v>
      </c>
      <c r="I192">
        <f t="shared" si="4"/>
        <v>1206</v>
      </c>
      <c r="J192">
        <f t="shared" si="5"/>
        <v>88</v>
      </c>
    </row>
    <row r="193" spans="7:10" x14ac:dyDescent="0.3">
      <c r="G193">
        <f>both!N201</f>
        <v>0.91155090837203834</v>
      </c>
      <c r="H193">
        <f>soc!N201</f>
        <v>3.0433522673064133E-2</v>
      </c>
      <c r="I193">
        <f t="shared" si="4"/>
        <v>1847</v>
      </c>
      <c r="J193">
        <f t="shared" si="5"/>
        <v>550</v>
      </c>
    </row>
    <row r="194" spans="7:10" x14ac:dyDescent="0.3">
      <c r="G194">
        <f>both!N202</f>
        <v>0.56787477522810481</v>
      </c>
      <c r="H194">
        <f>soc!N202</f>
        <v>1.0641791572248527E-2</v>
      </c>
      <c r="I194">
        <f t="shared" si="4"/>
        <v>1204</v>
      </c>
      <c r="J194">
        <f t="shared" si="5"/>
        <v>435</v>
      </c>
    </row>
    <row r="195" spans="7:10" x14ac:dyDescent="0.3">
      <c r="G195">
        <f>both!N203</f>
        <v>0.52106844361118054</v>
      </c>
      <c r="H195">
        <f>soc!N203</f>
        <v>0.95904649265371511</v>
      </c>
      <c r="I195">
        <f t="shared" si="4"/>
        <v>1132</v>
      </c>
      <c r="J195">
        <f t="shared" si="5"/>
        <v>1938</v>
      </c>
    </row>
    <row r="196" spans="7:10" x14ac:dyDescent="0.3">
      <c r="G196">
        <f>both!N204</f>
        <v>0.86342253372753863</v>
      </c>
      <c r="H196">
        <f>soc!N204</f>
        <v>3.2179145512325452E-2</v>
      </c>
      <c r="I196">
        <f t="shared" si="4"/>
        <v>1744</v>
      </c>
      <c r="J196">
        <f t="shared" si="5"/>
        <v>558</v>
      </c>
    </row>
    <row r="197" spans="7:10" x14ac:dyDescent="0.3">
      <c r="G197">
        <f>both!N205</f>
        <v>0.70378190497898674</v>
      </c>
      <c r="H197">
        <f>soc!N205</f>
        <v>1.8357984396461403E-2</v>
      </c>
      <c r="I197">
        <f t="shared" ref="I197:I260" si="6">RANK(G197,$G$4:$H$1004,1) + (COUNTIF($G$4:$H$1004,G197)-1)/2</f>
        <v>1422</v>
      </c>
      <c r="J197">
        <f t="shared" ref="J197:J260" si="7">RANK(H197,$G$4:$H$1004,1) + (COUNTIF($G$4:$H$1004,H197)-1)/2</f>
        <v>498</v>
      </c>
    </row>
    <row r="198" spans="7:10" x14ac:dyDescent="0.3">
      <c r="G198">
        <f>both!N206</f>
        <v>0.90523286925554469</v>
      </c>
      <c r="H198">
        <f>soc!N206</f>
        <v>5.7312791291779852E-2</v>
      </c>
      <c r="I198">
        <f t="shared" si="6"/>
        <v>1838</v>
      </c>
      <c r="J198">
        <f t="shared" si="7"/>
        <v>629</v>
      </c>
    </row>
    <row r="199" spans="7:10" x14ac:dyDescent="0.3">
      <c r="G199">
        <f>both!N207</f>
        <v>0.5695194776126814</v>
      </c>
      <c r="H199">
        <f>soc!N207</f>
        <v>0.2025068104188408</v>
      </c>
      <c r="I199">
        <f t="shared" si="6"/>
        <v>1209</v>
      </c>
      <c r="J199">
        <f t="shared" si="7"/>
        <v>775</v>
      </c>
    </row>
    <row r="200" spans="7:10" x14ac:dyDescent="0.3">
      <c r="G200">
        <f>both!N208</f>
        <v>0.89031570498120471</v>
      </c>
      <c r="H200">
        <f>soc!N208</f>
        <v>0.13833581453914973</v>
      </c>
      <c r="I200">
        <f t="shared" si="6"/>
        <v>1809</v>
      </c>
      <c r="J200">
        <f t="shared" si="7"/>
        <v>724</v>
      </c>
    </row>
    <row r="201" spans="7:10" x14ac:dyDescent="0.3">
      <c r="G201">
        <f>both!N209</f>
        <v>0.91986791805793033</v>
      </c>
      <c r="H201">
        <f>soc!N209</f>
        <v>5.3550285711236864E-2</v>
      </c>
      <c r="I201">
        <f t="shared" si="6"/>
        <v>1864</v>
      </c>
      <c r="J201">
        <f t="shared" si="7"/>
        <v>620</v>
      </c>
    </row>
    <row r="202" spans="7:10" x14ac:dyDescent="0.3">
      <c r="G202">
        <f>both!N210</f>
        <v>0.61406233595276094</v>
      </c>
      <c r="H202">
        <f>soc!N210</f>
        <v>0.45353399378904163</v>
      </c>
      <c r="I202">
        <f t="shared" si="6"/>
        <v>1278</v>
      </c>
      <c r="J202">
        <f t="shared" si="7"/>
        <v>1036</v>
      </c>
    </row>
    <row r="203" spans="7:10" x14ac:dyDescent="0.3">
      <c r="G203">
        <f>both!N211</f>
        <v>0.79216217824471213</v>
      </c>
      <c r="H203">
        <f>soc!N211</f>
        <v>0.94334104516896167</v>
      </c>
      <c r="I203">
        <f t="shared" si="6"/>
        <v>1587</v>
      </c>
      <c r="J203">
        <f t="shared" si="7"/>
        <v>1908</v>
      </c>
    </row>
    <row r="204" spans="7:10" x14ac:dyDescent="0.3">
      <c r="G204">
        <f>both!N212</f>
        <v>0.39275789166674163</v>
      </c>
      <c r="H204">
        <f>soc!N212</f>
        <v>5.5983369064387574E-5</v>
      </c>
      <c r="I204">
        <f t="shared" si="6"/>
        <v>968</v>
      </c>
      <c r="J204">
        <f t="shared" si="7"/>
        <v>34</v>
      </c>
    </row>
    <row r="205" spans="7:10" x14ac:dyDescent="0.3">
      <c r="G205">
        <f>both!N213</f>
        <v>0.65480585506854783</v>
      </c>
      <c r="H205">
        <f>soc!N213</f>
        <v>2.4982282455660964E-4</v>
      </c>
      <c r="I205">
        <f t="shared" si="6"/>
        <v>1335</v>
      </c>
      <c r="J205">
        <f t="shared" si="7"/>
        <v>90</v>
      </c>
    </row>
    <row r="206" spans="7:10" x14ac:dyDescent="0.3">
      <c r="G206">
        <f>both!N214</f>
        <v>0.72129491136182922</v>
      </c>
      <c r="H206">
        <f>soc!N214</f>
        <v>5.6412252581454091E-4</v>
      </c>
      <c r="I206">
        <f t="shared" si="6"/>
        <v>1458</v>
      </c>
      <c r="J206">
        <f t="shared" si="7"/>
        <v>139</v>
      </c>
    </row>
    <row r="207" spans="7:10" x14ac:dyDescent="0.3">
      <c r="G207">
        <f>both!N215</f>
        <v>0.66815162944653161</v>
      </c>
      <c r="H207">
        <f>soc!N215</f>
        <v>2.0647007470571623E-3</v>
      </c>
      <c r="I207">
        <f t="shared" si="6"/>
        <v>1363</v>
      </c>
      <c r="J207">
        <f t="shared" si="7"/>
        <v>253</v>
      </c>
    </row>
    <row r="208" spans="7:10" x14ac:dyDescent="0.3">
      <c r="G208">
        <f>both!N216</f>
        <v>0.89338200684658442</v>
      </c>
      <c r="H208">
        <f>soc!N216</f>
        <v>2.5361147858601739E-2</v>
      </c>
      <c r="I208">
        <f t="shared" si="6"/>
        <v>1815</v>
      </c>
      <c r="J208">
        <f t="shared" si="7"/>
        <v>534</v>
      </c>
    </row>
    <row r="209" spans="7:10" x14ac:dyDescent="0.3">
      <c r="G209">
        <f>both!N217</f>
        <v>0.91332498928547468</v>
      </c>
      <c r="H209">
        <f>soc!N217</f>
        <v>4.2257972310184196E-3</v>
      </c>
      <c r="I209">
        <f t="shared" si="6"/>
        <v>1851</v>
      </c>
      <c r="J209">
        <f t="shared" si="7"/>
        <v>323</v>
      </c>
    </row>
    <row r="210" spans="7:10" x14ac:dyDescent="0.3">
      <c r="G210">
        <f>both!N218</f>
        <v>0.9239531777844876</v>
      </c>
      <c r="H210">
        <f>soc!N218</f>
        <v>3.8579462836548302E-3</v>
      </c>
      <c r="I210">
        <f t="shared" si="6"/>
        <v>1874</v>
      </c>
      <c r="J210">
        <f t="shared" si="7"/>
        <v>308</v>
      </c>
    </row>
    <row r="211" spans="7:10" x14ac:dyDescent="0.3">
      <c r="G211">
        <f>both!N219</f>
        <v>0.48922148967281487</v>
      </c>
      <c r="H211">
        <f>soc!N219</f>
        <v>6.2378876502043948E-4</v>
      </c>
      <c r="I211">
        <f t="shared" si="6"/>
        <v>1080</v>
      </c>
      <c r="J211">
        <f t="shared" si="7"/>
        <v>143</v>
      </c>
    </row>
    <row r="212" spans="7:10" x14ac:dyDescent="0.3">
      <c r="G212">
        <f>both!N220</f>
        <v>0.80341419034744443</v>
      </c>
      <c r="H212">
        <f>soc!N220</f>
        <v>7.9080033282563529E-3</v>
      </c>
      <c r="I212">
        <f t="shared" si="6"/>
        <v>1611</v>
      </c>
      <c r="J212">
        <f t="shared" si="7"/>
        <v>394</v>
      </c>
    </row>
    <row r="213" spans="7:10" x14ac:dyDescent="0.3">
      <c r="G213">
        <f>both!N221</f>
        <v>0.26462338887419246</v>
      </c>
      <c r="H213">
        <f>soc!N221</f>
        <v>1.9577394939563151E-2</v>
      </c>
      <c r="I213">
        <f t="shared" si="6"/>
        <v>820</v>
      </c>
      <c r="J213">
        <f t="shared" si="7"/>
        <v>504</v>
      </c>
    </row>
    <row r="214" spans="7:10" x14ac:dyDescent="0.3">
      <c r="G214">
        <f>both!N222</f>
        <v>0.96163669027013543</v>
      </c>
      <c r="H214">
        <f>soc!N222</f>
        <v>9.1661628790686636E-2</v>
      </c>
      <c r="I214">
        <f t="shared" si="6"/>
        <v>1942</v>
      </c>
      <c r="J214">
        <f t="shared" si="7"/>
        <v>676</v>
      </c>
    </row>
    <row r="215" spans="7:10" x14ac:dyDescent="0.3">
      <c r="G215">
        <f>both!N223</f>
        <v>0.60652073107452886</v>
      </c>
      <c r="H215">
        <f>soc!N223</f>
        <v>5.0941964467514339E-2</v>
      </c>
      <c r="I215">
        <f t="shared" si="6"/>
        <v>1267</v>
      </c>
      <c r="J215">
        <f t="shared" si="7"/>
        <v>615</v>
      </c>
    </row>
    <row r="216" spans="7:10" x14ac:dyDescent="0.3">
      <c r="G216">
        <f>both!N224</f>
        <v>0.73099740307989247</v>
      </c>
      <c r="H216">
        <f>soc!N224</f>
        <v>0.57944494536405944</v>
      </c>
      <c r="I216">
        <f t="shared" si="6"/>
        <v>1472</v>
      </c>
      <c r="J216">
        <f t="shared" si="7"/>
        <v>1219</v>
      </c>
    </row>
    <row r="217" spans="7:10" x14ac:dyDescent="0.3">
      <c r="G217">
        <f>both!N225</f>
        <v>0.63219772306900701</v>
      </c>
      <c r="H217">
        <f>soc!N225</f>
        <v>2.1679820304896607E-2</v>
      </c>
      <c r="I217">
        <f t="shared" si="6"/>
        <v>1299</v>
      </c>
      <c r="J217">
        <f t="shared" si="7"/>
        <v>513</v>
      </c>
    </row>
    <row r="218" spans="7:10" x14ac:dyDescent="0.3">
      <c r="G218">
        <f>both!N226</f>
        <v>0.85589945436733239</v>
      </c>
      <c r="H218">
        <f>soc!N226</f>
        <v>6.5558058347184145E-2</v>
      </c>
      <c r="I218">
        <f t="shared" si="6"/>
        <v>1723</v>
      </c>
      <c r="J218">
        <f t="shared" si="7"/>
        <v>642</v>
      </c>
    </row>
    <row r="219" spans="7:10" x14ac:dyDescent="0.3">
      <c r="G219">
        <f>both!N227</f>
        <v>0.66999679909646481</v>
      </c>
      <c r="H219">
        <f>soc!N227</f>
        <v>4.5373860340127685E-2</v>
      </c>
      <c r="I219">
        <f t="shared" si="6"/>
        <v>1364</v>
      </c>
      <c r="J219">
        <f t="shared" si="7"/>
        <v>600</v>
      </c>
    </row>
    <row r="220" spans="7:10" x14ac:dyDescent="0.3">
      <c r="G220">
        <f>both!N228</f>
        <v>0.91171973198446821</v>
      </c>
      <c r="H220">
        <f>soc!N228</f>
        <v>3.3664331122170474E-2</v>
      </c>
      <c r="I220">
        <f t="shared" si="6"/>
        <v>1848</v>
      </c>
      <c r="J220">
        <f t="shared" si="7"/>
        <v>567</v>
      </c>
    </row>
    <row r="221" spans="7:10" x14ac:dyDescent="0.3">
      <c r="G221">
        <f>both!N229</f>
        <v>0.6640867421326172</v>
      </c>
      <c r="H221">
        <f>soc!N229</f>
        <v>0.81800091672662922</v>
      </c>
      <c r="I221">
        <f t="shared" si="6"/>
        <v>1355</v>
      </c>
      <c r="J221">
        <f t="shared" si="7"/>
        <v>1640</v>
      </c>
    </row>
    <row r="222" spans="7:10" x14ac:dyDescent="0.3">
      <c r="G222">
        <f>both!N230</f>
        <v>0.61818715244809341</v>
      </c>
      <c r="H222">
        <f>soc!N230</f>
        <v>1.3035030927784352E-3</v>
      </c>
      <c r="I222">
        <f t="shared" si="6"/>
        <v>1284</v>
      </c>
      <c r="J222">
        <f t="shared" si="7"/>
        <v>195</v>
      </c>
    </row>
    <row r="223" spans="7:10" x14ac:dyDescent="0.3">
      <c r="G223">
        <f>both!N231</f>
        <v>0.84734056142586611</v>
      </c>
      <c r="H223">
        <f>soc!N231</f>
        <v>2.8674552655254103E-3</v>
      </c>
      <c r="I223">
        <f t="shared" si="6"/>
        <v>1709</v>
      </c>
      <c r="J223">
        <f t="shared" si="7"/>
        <v>282</v>
      </c>
    </row>
    <row r="224" spans="7:10" x14ac:dyDescent="0.3">
      <c r="G224">
        <f>both!N232</f>
        <v>0.57684809384449154</v>
      </c>
      <c r="H224">
        <f>soc!N232</f>
        <v>1.0309465614157362E-3</v>
      </c>
      <c r="I224">
        <f t="shared" si="6"/>
        <v>1216</v>
      </c>
      <c r="J224">
        <f t="shared" si="7"/>
        <v>177</v>
      </c>
    </row>
    <row r="225" spans="7:10" x14ac:dyDescent="0.3">
      <c r="G225">
        <f>both!N233</f>
        <v>0.57888814856734105</v>
      </c>
      <c r="H225">
        <f>soc!N233</f>
        <v>7.75602029733198E-3</v>
      </c>
      <c r="I225">
        <f t="shared" si="6"/>
        <v>1218</v>
      </c>
      <c r="J225">
        <f t="shared" si="7"/>
        <v>390</v>
      </c>
    </row>
    <row r="226" spans="7:10" x14ac:dyDescent="0.3">
      <c r="G226">
        <f>both!N234</f>
        <v>0.63659895363044261</v>
      </c>
      <c r="H226">
        <f>soc!N234</f>
        <v>2.0478362378075787E-3</v>
      </c>
      <c r="I226">
        <f t="shared" si="6"/>
        <v>1310</v>
      </c>
      <c r="J226">
        <f t="shared" si="7"/>
        <v>251</v>
      </c>
    </row>
    <row r="227" spans="7:10" x14ac:dyDescent="0.3">
      <c r="G227">
        <f>both!N235</f>
        <v>0.29908695520449458</v>
      </c>
      <c r="H227">
        <f>soc!N235</f>
        <v>1.5808228683426224E-3</v>
      </c>
      <c r="I227">
        <f t="shared" si="6"/>
        <v>847</v>
      </c>
      <c r="J227">
        <f t="shared" si="7"/>
        <v>223</v>
      </c>
    </row>
    <row r="228" spans="7:10" x14ac:dyDescent="0.3">
      <c r="G228">
        <f>both!N236</f>
        <v>0.54646803090219542</v>
      </c>
      <c r="H228">
        <f>soc!N236</f>
        <v>7.9876599622584484E-6</v>
      </c>
      <c r="I228">
        <f t="shared" si="6"/>
        <v>1171</v>
      </c>
      <c r="J228">
        <f t="shared" si="7"/>
        <v>7</v>
      </c>
    </row>
    <row r="229" spans="7:10" x14ac:dyDescent="0.3">
      <c r="G229">
        <f>both!N237</f>
        <v>0.33014804362672889</v>
      </c>
      <c r="H229">
        <f>soc!N237</f>
        <v>0.80624191164979686</v>
      </c>
      <c r="I229">
        <f t="shared" si="6"/>
        <v>884</v>
      </c>
      <c r="J229">
        <f t="shared" si="7"/>
        <v>1618</v>
      </c>
    </row>
    <row r="230" spans="7:10" x14ac:dyDescent="0.3">
      <c r="G230">
        <f>both!N238</f>
        <v>0.79358722061521747</v>
      </c>
      <c r="H230">
        <f>soc!N238</f>
        <v>4.4453803511155408E-3</v>
      </c>
      <c r="I230">
        <f t="shared" si="6"/>
        <v>1591</v>
      </c>
      <c r="J230">
        <f t="shared" si="7"/>
        <v>328</v>
      </c>
    </row>
    <row r="231" spans="7:10" x14ac:dyDescent="0.3">
      <c r="G231">
        <f>both!N239</f>
        <v>0.84434209256930226</v>
      </c>
      <c r="H231">
        <f>soc!N239</f>
        <v>7.3408817351189212E-5</v>
      </c>
      <c r="I231">
        <f t="shared" si="6"/>
        <v>1703</v>
      </c>
      <c r="J231">
        <f t="shared" si="7"/>
        <v>42</v>
      </c>
    </row>
    <row r="232" spans="7:10" x14ac:dyDescent="0.3">
      <c r="G232">
        <f>both!N240</f>
        <v>0.86025923712154773</v>
      </c>
      <c r="H232">
        <f>soc!N240</f>
        <v>2.4654954377525243E-2</v>
      </c>
      <c r="I232">
        <f t="shared" si="6"/>
        <v>1735</v>
      </c>
      <c r="J232">
        <f t="shared" si="7"/>
        <v>532</v>
      </c>
    </row>
    <row r="233" spans="7:10" x14ac:dyDescent="0.3">
      <c r="G233">
        <f>both!N241</f>
        <v>0.53407687565021811</v>
      </c>
      <c r="H233">
        <f>soc!N241</f>
        <v>7.781987835777425E-2</v>
      </c>
      <c r="I233">
        <f t="shared" si="6"/>
        <v>1151</v>
      </c>
      <c r="J233">
        <f t="shared" si="7"/>
        <v>658</v>
      </c>
    </row>
    <row r="234" spans="7:10" x14ac:dyDescent="0.3">
      <c r="G234">
        <f>both!N242</f>
        <v>0.37093180817084481</v>
      </c>
      <c r="H234">
        <f>soc!N242</f>
        <v>5.0924385249243647E-3</v>
      </c>
      <c r="I234">
        <f t="shared" si="6"/>
        <v>937</v>
      </c>
      <c r="J234">
        <f t="shared" si="7"/>
        <v>354</v>
      </c>
    </row>
    <row r="235" spans="7:10" x14ac:dyDescent="0.3">
      <c r="G235">
        <f>both!N243</f>
        <v>0.72652665774194136</v>
      </c>
      <c r="H235">
        <f>soc!N243</f>
        <v>4.5011733218594752E-4</v>
      </c>
      <c r="I235">
        <f t="shared" si="6"/>
        <v>1465</v>
      </c>
      <c r="J235">
        <f t="shared" si="7"/>
        <v>121</v>
      </c>
    </row>
    <row r="236" spans="7:10" x14ac:dyDescent="0.3">
      <c r="G236">
        <f>both!N244</f>
        <v>0.94719722309161158</v>
      </c>
      <c r="H236">
        <f>soc!N244</f>
        <v>5.0778672752741947E-3</v>
      </c>
      <c r="I236">
        <f t="shared" si="6"/>
        <v>1916</v>
      </c>
      <c r="J236">
        <f t="shared" si="7"/>
        <v>352</v>
      </c>
    </row>
    <row r="237" spans="7:10" x14ac:dyDescent="0.3">
      <c r="G237">
        <f>both!N245</f>
        <v>0.61152257030343193</v>
      </c>
      <c r="H237">
        <f>soc!N245</f>
        <v>6.0157051565376003E-3</v>
      </c>
      <c r="I237">
        <f t="shared" si="6"/>
        <v>1273</v>
      </c>
      <c r="J237">
        <f t="shared" si="7"/>
        <v>367</v>
      </c>
    </row>
    <row r="238" spans="7:10" x14ac:dyDescent="0.3">
      <c r="G238">
        <f>both!N246</f>
        <v>0.45674991288292088</v>
      </c>
      <c r="H238">
        <f>soc!N246</f>
        <v>3.6395233034042457E-3</v>
      </c>
      <c r="I238">
        <f t="shared" si="6"/>
        <v>1039</v>
      </c>
      <c r="J238">
        <f t="shared" si="7"/>
        <v>303</v>
      </c>
    </row>
    <row r="239" spans="7:10" x14ac:dyDescent="0.3">
      <c r="G239">
        <f>both!N247</f>
        <v>0.82780277305712346</v>
      </c>
      <c r="H239">
        <f>soc!N247</f>
        <v>5.3732090475644657E-3</v>
      </c>
      <c r="I239">
        <f t="shared" si="6"/>
        <v>1659</v>
      </c>
      <c r="J239">
        <f t="shared" si="7"/>
        <v>358</v>
      </c>
    </row>
    <row r="240" spans="7:10" x14ac:dyDescent="0.3">
      <c r="G240">
        <f>both!N248</f>
        <v>0.50709856554207833</v>
      </c>
      <c r="H240">
        <f>soc!N248</f>
        <v>1.3212261161312815E-3</v>
      </c>
      <c r="I240">
        <f t="shared" si="6"/>
        <v>1105</v>
      </c>
      <c r="J240">
        <f t="shared" si="7"/>
        <v>201</v>
      </c>
    </row>
    <row r="241" spans="7:10" x14ac:dyDescent="0.3">
      <c r="G241">
        <f>both!N249</f>
        <v>0.50840870463458043</v>
      </c>
      <c r="H241">
        <f>soc!N249</f>
        <v>4.5933527528058257E-3</v>
      </c>
      <c r="I241">
        <f t="shared" si="6"/>
        <v>1107</v>
      </c>
      <c r="J241">
        <f t="shared" si="7"/>
        <v>330</v>
      </c>
    </row>
    <row r="242" spans="7:10" x14ac:dyDescent="0.3">
      <c r="G242">
        <f>both!N250</f>
        <v>0.7443306273532545</v>
      </c>
      <c r="H242">
        <f>soc!N250</f>
        <v>0.58581028904881638</v>
      </c>
      <c r="I242">
        <f t="shared" si="6"/>
        <v>1503</v>
      </c>
      <c r="J242">
        <f t="shared" si="7"/>
        <v>1228</v>
      </c>
    </row>
    <row r="243" spans="7:10" x14ac:dyDescent="0.3">
      <c r="G243">
        <f>both!N251</f>
        <v>0.74611129369675966</v>
      </c>
      <c r="H243">
        <f>soc!N251</f>
        <v>1.7714873592393703E-2</v>
      </c>
      <c r="I243">
        <f t="shared" si="6"/>
        <v>1508</v>
      </c>
      <c r="J243">
        <f t="shared" si="7"/>
        <v>489</v>
      </c>
    </row>
    <row r="244" spans="7:10" x14ac:dyDescent="0.3">
      <c r="G244">
        <f>both!N252</f>
        <v>0.88931683144581353</v>
      </c>
      <c r="H244">
        <f>soc!N252</f>
        <v>1.2416961724887687E-2</v>
      </c>
      <c r="I244">
        <f t="shared" si="6"/>
        <v>1805</v>
      </c>
      <c r="J244">
        <f t="shared" si="7"/>
        <v>450</v>
      </c>
    </row>
    <row r="245" spans="7:10" x14ac:dyDescent="0.3">
      <c r="G245">
        <f>both!N253</f>
        <v>0.76900639647060753</v>
      </c>
      <c r="H245">
        <f>soc!N253</f>
        <v>4.3088744763594075E-3</v>
      </c>
      <c r="I245">
        <f t="shared" si="6"/>
        <v>1555</v>
      </c>
      <c r="J245">
        <f t="shared" si="7"/>
        <v>326</v>
      </c>
    </row>
    <row r="246" spans="7:10" x14ac:dyDescent="0.3">
      <c r="G246">
        <f>both!N254</f>
        <v>0.81708715346151184</v>
      </c>
      <c r="H246">
        <f>soc!N254</f>
        <v>0.19967902566707571</v>
      </c>
      <c r="I246">
        <f t="shared" si="6"/>
        <v>1639</v>
      </c>
      <c r="J246">
        <f t="shared" si="7"/>
        <v>772</v>
      </c>
    </row>
    <row r="247" spans="7:10" x14ac:dyDescent="0.3">
      <c r="G247">
        <f>both!N255</f>
        <v>0.57326461272020923</v>
      </c>
      <c r="H247">
        <f>soc!N255</f>
        <v>5.133286413384135E-3</v>
      </c>
      <c r="I247">
        <f t="shared" si="6"/>
        <v>1212</v>
      </c>
      <c r="J247">
        <f t="shared" si="7"/>
        <v>355</v>
      </c>
    </row>
    <row r="248" spans="7:10" x14ac:dyDescent="0.3">
      <c r="G248">
        <f>both!N256</f>
        <v>0.77620323869651453</v>
      </c>
      <c r="H248">
        <f>soc!N256</f>
        <v>4.0643999869520164E-3</v>
      </c>
      <c r="I248">
        <f t="shared" si="6"/>
        <v>1566</v>
      </c>
      <c r="J248">
        <f t="shared" si="7"/>
        <v>317</v>
      </c>
    </row>
    <row r="249" spans="7:10" x14ac:dyDescent="0.3">
      <c r="G249">
        <f>both!N257</f>
        <v>0.73413418774866046</v>
      </c>
      <c r="H249">
        <f>soc!N257</f>
        <v>0.12192783513924715</v>
      </c>
      <c r="I249">
        <f t="shared" si="6"/>
        <v>1476</v>
      </c>
      <c r="J249">
        <f t="shared" si="7"/>
        <v>703</v>
      </c>
    </row>
    <row r="250" spans="7:10" x14ac:dyDescent="0.3">
      <c r="G250">
        <f>both!N258</f>
        <v>0.88318643719825085</v>
      </c>
      <c r="H250">
        <f>soc!N258</f>
        <v>4.8546301982953337E-3</v>
      </c>
      <c r="I250">
        <f t="shared" si="6"/>
        <v>1794</v>
      </c>
      <c r="J250">
        <f t="shared" si="7"/>
        <v>340</v>
      </c>
    </row>
    <row r="251" spans="7:10" x14ac:dyDescent="0.3">
      <c r="G251">
        <f>both!N259</f>
        <v>0.41192852074177394</v>
      </c>
      <c r="H251">
        <f>soc!N259</f>
        <v>3.9297815741207685E-2</v>
      </c>
      <c r="I251">
        <f t="shared" si="6"/>
        <v>991</v>
      </c>
      <c r="J251">
        <f t="shared" si="7"/>
        <v>581</v>
      </c>
    </row>
    <row r="252" spans="7:10" x14ac:dyDescent="0.3">
      <c r="G252">
        <f>both!N260</f>
        <v>0.68530052094017813</v>
      </c>
      <c r="H252">
        <f>soc!N260</f>
        <v>0.20877422362823597</v>
      </c>
      <c r="I252">
        <f t="shared" si="6"/>
        <v>1383</v>
      </c>
      <c r="J252">
        <f t="shared" si="7"/>
        <v>779</v>
      </c>
    </row>
    <row r="253" spans="7:10" x14ac:dyDescent="0.3">
      <c r="G253">
        <f>both!N261</f>
        <v>0.79495319877151582</v>
      </c>
      <c r="H253">
        <f>soc!N261</f>
        <v>0.33236120297318272</v>
      </c>
      <c r="I253">
        <f t="shared" si="6"/>
        <v>1595</v>
      </c>
      <c r="J253">
        <f t="shared" si="7"/>
        <v>887</v>
      </c>
    </row>
    <row r="254" spans="7:10" x14ac:dyDescent="0.3">
      <c r="G254">
        <f>both!N262</f>
        <v>0.89892085114950659</v>
      </c>
      <c r="H254">
        <f>soc!N262</f>
        <v>6.0998651769226817E-3</v>
      </c>
      <c r="I254">
        <f t="shared" si="6"/>
        <v>1824</v>
      </c>
      <c r="J254">
        <f t="shared" si="7"/>
        <v>369</v>
      </c>
    </row>
    <row r="255" spans="7:10" x14ac:dyDescent="0.3">
      <c r="G255">
        <f>both!N263</f>
        <v>0.88270697461076675</v>
      </c>
      <c r="H255">
        <f>soc!N263</f>
        <v>2.5439985671125135E-4</v>
      </c>
      <c r="I255">
        <f t="shared" si="6"/>
        <v>1792</v>
      </c>
      <c r="J255">
        <f t="shared" si="7"/>
        <v>91</v>
      </c>
    </row>
    <row r="256" spans="7:10" x14ac:dyDescent="0.3">
      <c r="G256">
        <f>both!N264</f>
        <v>0.29067629270196871</v>
      </c>
      <c r="H256">
        <f>soc!N264</f>
        <v>0.85017841980035347</v>
      </c>
      <c r="I256">
        <f t="shared" si="6"/>
        <v>839</v>
      </c>
      <c r="J256">
        <f t="shared" si="7"/>
        <v>1716</v>
      </c>
    </row>
    <row r="257" spans="7:10" x14ac:dyDescent="0.3">
      <c r="G257">
        <f>both!N265</f>
        <v>0.79732587777670105</v>
      </c>
      <c r="H257">
        <f>soc!N265</f>
        <v>3.900992524392688E-3</v>
      </c>
      <c r="I257">
        <f t="shared" si="6"/>
        <v>1599</v>
      </c>
      <c r="J257">
        <f t="shared" si="7"/>
        <v>310</v>
      </c>
    </row>
    <row r="258" spans="7:10" x14ac:dyDescent="0.3">
      <c r="G258">
        <f>both!N266</f>
        <v>0.35128033024657462</v>
      </c>
      <c r="H258">
        <f>soc!N266</f>
        <v>0.10775488377044694</v>
      </c>
      <c r="I258">
        <f t="shared" si="6"/>
        <v>911</v>
      </c>
      <c r="J258">
        <f t="shared" si="7"/>
        <v>691</v>
      </c>
    </row>
    <row r="259" spans="7:10" x14ac:dyDescent="0.3">
      <c r="G259">
        <f>both!N267</f>
        <v>0.71696311562593906</v>
      </c>
      <c r="H259">
        <f>soc!N267</f>
        <v>5.0315505509346763E-2</v>
      </c>
      <c r="I259">
        <f t="shared" si="6"/>
        <v>1446</v>
      </c>
      <c r="J259">
        <f t="shared" si="7"/>
        <v>613</v>
      </c>
    </row>
    <row r="260" spans="7:10" x14ac:dyDescent="0.3">
      <c r="G260">
        <f>both!N268</f>
        <v>0.69937887609826577</v>
      </c>
      <c r="H260">
        <f>soc!N268</f>
        <v>0.1471105649879646</v>
      </c>
      <c r="I260">
        <f t="shared" si="6"/>
        <v>1408</v>
      </c>
      <c r="J260">
        <f t="shared" si="7"/>
        <v>729</v>
      </c>
    </row>
    <row r="261" spans="7:10" x14ac:dyDescent="0.3">
      <c r="G261">
        <f>both!N269</f>
        <v>0.64092606598482649</v>
      </c>
      <c r="H261">
        <f>soc!N269</f>
        <v>0.10131422645280946</v>
      </c>
      <c r="I261">
        <f t="shared" ref="I261:I324" si="8">RANK(G261,$G$4:$H$1004,1) + (COUNTIF($G$4:$H$1004,G261)-1)/2</f>
        <v>1315</v>
      </c>
      <c r="J261">
        <f t="shared" ref="J261:J324" si="9">RANK(H261,$G$4:$H$1004,1) + (COUNTIF($G$4:$H$1004,H261)-1)/2</f>
        <v>686</v>
      </c>
    </row>
    <row r="262" spans="7:10" x14ac:dyDescent="0.3">
      <c r="G262">
        <f>both!N270</f>
        <v>0.79955332916155619</v>
      </c>
      <c r="H262">
        <f>soc!N270</f>
        <v>6.9794793146650276E-4</v>
      </c>
      <c r="I262">
        <f t="shared" si="8"/>
        <v>1606</v>
      </c>
      <c r="J262">
        <f t="shared" si="9"/>
        <v>149</v>
      </c>
    </row>
    <row r="263" spans="7:10" x14ac:dyDescent="0.3">
      <c r="G263">
        <f>both!N271</f>
        <v>0.69604027602428453</v>
      </c>
      <c r="H263">
        <f>soc!N271</f>
        <v>0.98649925253134663</v>
      </c>
      <c r="I263">
        <f t="shared" si="8"/>
        <v>1402</v>
      </c>
      <c r="J263">
        <f t="shared" si="9"/>
        <v>1976</v>
      </c>
    </row>
    <row r="264" spans="7:10" x14ac:dyDescent="0.3">
      <c r="G264">
        <f>both!N272</f>
        <v>0.70849614805229089</v>
      </c>
      <c r="H264">
        <f>soc!N272</f>
        <v>6.2868920596068703E-2</v>
      </c>
      <c r="I264">
        <f t="shared" si="8"/>
        <v>1428</v>
      </c>
      <c r="J264">
        <f t="shared" si="9"/>
        <v>637</v>
      </c>
    </row>
    <row r="265" spans="7:10" x14ac:dyDescent="0.3">
      <c r="G265">
        <f>both!N273</f>
        <v>0.35465791568817184</v>
      </c>
      <c r="H265">
        <f>soc!N273</f>
        <v>5.5358000321800434E-4</v>
      </c>
      <c r="I265">
        <f t="shared" si="8"/>
        <v>919</v>
      </c>
      <c r="J265">
        <f t="shared" si="9"/>
        <v>135</v>
      </c>
    </row>
    <row r="266" spans="7:10" x14ac:dyDescent="0.3">
      <c r="G266">
        <f>both!N274</f>
        <v>0.99039199999643279</v>
      </c>
      <c r="H266">
        <f>soc!N274</f>
        <v>3.0908892506170977E-2</v>
      </c>
      <c r="I266">
        <f t="shared" si="8"/>
        <v>1981</v>
      </c>
      <c r="J266">
        <f t="shared" si="9"/>
        <v>553</v>
      </c>
    </row>
    <row r="267" spans="7:10" x14ac:dyDescent="0.3">
      <c r="G267">
        <f>both!N275</f>
        <v>0.56542878475398517</v>
      </c>
      <c r="H267">
        <f>soc!N275</f>
        <v>0.2226338300323781</v>
      </c>
      <c r="I267">
        <f t="shared" si="8"/>
        <v>1201</v>
      </c>
      <c r="J267">
        <f t="shared" si="9"/>
        <v>784</v>
      </c>
    </row>
    <row r="268" spans="7:10" x14ac:dyDescent="0.3">
      <c r="G268">
        <f>both!N276</f>
        <v>0.53816831854850888</v>
      </c>
      <c r="H268">
        <f>soc!N276</f>
        <v>6.7535533658087251E-3</v>
      </c>
      <c r="I268">
        <f t="shared" si="8"/>
        <v>1157</v>
      </c>
      <c r="J268">
        <f t="shared" si="9"/>
        <v>378</v>
      </c>
    </row>
    <row r="269" spans="7:10" x14ac:dyDescent="0.3">
      <c r="G269">
        <f>both!N277</f>
        <v>0.54488578064825544</v>
      </c>
      <c r="H269">
        <f>soc!N277</f>
        <v>0.10806884279952648</v>
      </c>
      <c r="I269">
        <f t="shared" si="8"/>
        <v>1166</v>
      </c>
      <c r="J269">
        <f t="shared" si="9"/>
        <v>692</v>
      </c>
    </row>
    <row r="270" spans="7:10" x14ac:dyDescent="0.3">
      <c r="G270">
        <f>both!N278</f>
        <v>0.9149521484362434</v>
      </c>
      <c r="H270">
        <f>soc!N278</f>
        <v>3.7396146236234745E-2</v>
      </c>
      <c r="I270">
        <f t="shared" si="8"/>
        <v>1854</v>
      </c>
      <c r="J270">
        <f t="shared" si="9"/>
        <v>576</v>
      </c>
    </row>
    <row r="271" spans="7:10" x14ac:dyDescent="0.3">
      <c r="G271">
        <f>both!N279</f>
        <v>0.6959871526240835</v>
      </c>
      <c r="H271">
        <f>soc!N279</f>
        <v>5.0801047539710455E-3</v>
      </c>
      <c r="I271">
        <f t="shared" si="8"/>
        <v>1401</v>
      </c>
      <c r="J271">
        <f t="shared" si="9"/>
        <v>353</v>
      </c>
    </row>
    <row r="272" spans="7:10" x14ac:dyDescent="0.3">
      <c r="G272">
        <f>both!N280</f>
        <v>0.8276034513676116</v>
      </c>
      <c r="H272">
        <f>soc!N280</f>
        <v>1.1477404459424374E-4</v>
      </c>
      <c r="I272">
        <f t="shared" si="8"/>
        <v>1658</v>
      </c>
      <c r="J272">
        <f t="shared" si="9"/>
        <v>55</v>
      </c>
    </row>
    <row r="273" spans="7:10" x14ac:dyDescent="0.3">
      <c r="G273">
        <f>both!N281</f>
        <v>0.83096685732376641</v>
      </c>
      <c r="H273">
        <f>soc!N281</f>
        <v>9.4652376822627383E-4</v>
      </c>
      <c r="I273">
        <f t="shared" si="8"/>
        <v>1669</v>
      </c>
      <c r="J273">
        <f t="shared" si="9"/>
        <v>169</v>
      </c>
    </row>
    <row r="274" spans="7:10" x14ac:dyDescent="0.3">
      <c r="G274">
        <f>both!N282</f>
        <v>0.12583931876737908</v>
      </c>
      <c r="H274">
        <f>soc!N282</f>
        <v>2.8783054343569026E-2</v>
      </c>
      <c r="I274">
        <f t="shared" si="8"/>
        <v>709</v>
      </c>
      <c r="J274">
        <f t="shared" si="9"/>
        <v>547</v>
      </c>
    </row>
    <row r="275" spans="7:10" x14ac:dyDescent="0.3">
      <c r="G275">
        <f>both!N283</f>
        <v>0.75629687523656219</v>
      </c>
      <c r="H275">
        <f>soc!N283</f>
        <v>5.973036398256374E-2</v>
      </c>
      <c r="I275">
        <f t="shared" si="8"/>
        <v>1528</v>
      </c>
      <c r="J275">
        <f t="shared" si="9"/>
        <v>634</v>
      </c>
    </row>
    <row r="276" spans="7:10" x14ac:dyDescent="0.3">
      <c r="G276">
        <f>both!N284</f>
        <v>0.92739424505291523</v>
      </c>
      <c r="H276">
        <f>soc!N284</f>
        <v>1.3149204022510073E-3</v>
      </c>
      <c r="I276">
        <f t="shared" si="8"/>
        <v>1882</v>
      </c>
      <c r="J276">
        <f t="shared" si="9"/>
        <v>199</v>
      </c>
    </row>
    <row r="277" spans="7:10" x14ac:dyDescent="0.3">
      <c r="G277">
        <f>both!N285</f>
        <v>0.43154753701167115</v>
      </c>
      <c r="H277">
        <f>soc!N285</f>
        <v>3.9773368189974413E-4</v>
      </c>
      <c r="I277">
        <f t="shared" si="8"/>
        <v>1014</v>
      </c>
      <c r="J277">
        <f t="shared" si="9"/>
        <v>116</v>
      </c>
    </row>
    <row r="278" spans="7:10" x14ac:dyDescent="0.3">
      <c r="G278">
        <f>both!N286</f>
        <v>0.77203631300992503</v>
      </c>
      <c r="H278">
        <f>soc!N286</f>
        <v>0.52446778791212345</v>
      </c>
      <c r="I278">
        <f t="shared" si="8"/>
        <v>1560</v>
      </c>
      <c r="J278">
        <f t="shared" si="9"/>
        <v>1137</v>
      </c>
    </row>
    <row r="279" spans="7:10" x14ac:dyDescent="0.3">
      <c r="G279">
        <f>both!N287</f>
        <v>0.75911943413430871</v>
      </c>
      <c r="H279">
        <f>soc!N287</f>
        <v>3.1533140614122844E-2</v>
      </c>
      <c r="I279">
        <f t="shared" si="8"/>
        <v>1533</v>
      </c>
      <c r="J279">
        <f t="shared" si="9"/>
        <v>556</v>
      </c>
    </row>
    <row r="280" spans="7:10" x14ac:dyDescent="0.3">
      <c r="G280">
        <f>both!N288</f>
        <v>0.89031147525808219</v>
      </c>
      <c r="H280">
        <f>soc!N288</f>
        <v>2.2351578884114952E-2</v>
      </c>
      <c r="I280">
        <f t="shared" si="8"/>
        <v>1808</v>
      </c>
      <c r="J280">
        <f t="shared" si="9"/>
        <v>521</v>
      </c>
    </row>
    <row r="281" spans="7:10" x14ac:dyDescent="0.3">
      <c r="G281">
        <f>both!N289</f>
        <v>0.29530385354207594</v>
      </c>
      <c r="H281">
        <f>soc!N289</f>
        <v>1.0764733992359185E-2</v>
      </c>
      <c r="I281">
        <f t="shared" si="8"/>
        <v>843</v>
      </c>
      <c r="J281">
        <f t="shared" si="9"/>
        <v>437</v>
      </c>
    </row>
    <row r="282" spans="7:10" x14ac:dyDescent="0.3">
      <c r="G282">
        <f>both!N290</f>
        <v>0.54629788727781659</v>
      </c>
      <c r="H282">
        <f>soc!N290</f>
        <v>1.5572034629173318E-2</v>
      </c>
      <c r="I282">
        <f t="shared" si="8"/>
        <v>1169</v>
      </c>
      <c r="J282">
        <f t="shared" si="9"/>
        <v>473</v>
      </c>
    </row>
    <row r="283" spans="7:10" x14ac:dyDescent="0.3">
      <c r="G283">
        <f>both!N291</f>
        <v>0.49337489074072227</v>
      </c>
      <c r="H283">
        <f>soc!N291</f>
        <v>7.2125622655252599E-5</v>
      </c>
      <c r="I283">
        <f t="shared" si="8"/>
        <v>1091</v>
      </c>
      <c r="J283">
        <f t="shared" si="9"/>
        <v>40</v>
      </c>
    </row>
    <row r="284" spans="7:10" x14ac:dyDescent="0.3">
      <c r="G284">
        <f>both!N292</f>
        <v>0.70848411107455478</v>
      </c>
      <c r="H284">
        <f>soc!N292</f>
        <v>1.3066836437075457E-3</v>
      </c>
      <c r="I284">
        <f t="shared" si="8"/>
        <v>1427</v>
      </c>
      <c r="J284">
        <f t="shared" si="9"/>
        <v>196</v>
      </c>
    </row>
    <row r="285" spans="7:10" x14ac:dyDescent="0.3">
      <c r="G285">
        <f>both!N293</f>
        <v>0.27462184523812838</v>
      </c>
      <c r="H285">
        <f>soc!N293</f>
        <v>0.43416710101011274</v>
      </c>
      <c r="I285">
        <f t="shared" si="8"/>
        <v>829</v>
      </c>
      <c r="J285">
        <f t="shared" si="9"/>
        <v>1018</v>
      </c>
    </row>
    <row r="286" spans="7:10" x14ac:dyDescent="0.3">
      <c r="G286">
        <f>both!N294</f>
        <v>0.65106728522294344</v>
      </c>
      <c r="H286">
        <f>soc!N294</f>
        <v>5.5764391537086878E-2</v>
      </c>
      <c r="I286">
        <f t="shared" si="8"/>
        <v>1328</v>
      </c>
      <c r="J286">
        <f t="shared" si="9"/>
        <v>625</v>
      </c>
    </row>
    <row r="287" spans="7:10" x14ac:dyDescent="0.3">
      <c r="G287">
        <f>both!N295</f>
        <v>0.85580681171763173</v>
      </c>
      <c r="H287">
        <f>soc!N295</f>
        <v>9.8711580940110621E-2</v>
      </c>
      <c r="I287">
        <f t="shared" si="8"/>
        <v>1722</v>
      </c>
      <c r="J287">
        <f t="shared" si="9"/>
        <v>680</v>
      </c>
    </row>
    <row r="288" spans="7:10" x14ac:dyDescent="0.3">
      <c r="G288">
        <f>both!N296</f>
        <v>0.87995913344627996</v>
      </c>
      <c r="H288">
        <f>soc!N296</f>
        <v>0.52401969817383276</v>
      </c>
      <c r="I288">
        <f t="shared" si="8"/>
        <v>1785</v>
      </c>
      <c r="J288">
        <f t="shared" si="9"/>
        <v>1136</v>
      </c>
    </row>
    <row r="289" spans="7:10" x14ac:dyDescent="0.3">
      <c r="G289">
        <f>both!N297</f>
        <v>0.33630999390738975</v>
      </c>
      <c r="H289">
        <f>soc!N297</f>
        <v>3.9773164005213436E-4</v>
      </c>
      <c r="I289">
        <f t="shared" si="8"/>
        <v>891</v>
      </c>
      <c r="J289">
        <f t="shared" si="9"/>
        <v>115</v>
      </c>
    </row>
    <row r="290" spans="7:10" x14ac:dyDescent="0.3">
      <c r="G290">
        <f>both!N298</f>
        <v>0.69643691836919419</v>
      </c>
      <c r="H290">
        <f>soc!N298</f>
        <v>0.29445184120789381</v>
      </c>
      <c r="I290">
        <f t="shared" si="8"/>
        <v>1403</v>
      </c>
      <c r="J290">
        <f t="shared" si="9"/>
        <v>841</v>
      </c>
    </row>
    <row r="291" spans="7:10" x14ac:dyDescent="0.3">
      <c r="G291">
        <f>both!N299</f>
        <v>0.86120461205022725</v>
      </c>
      <c r="H291">
        <f>soc!N299</f>
        <v>0.73674202949096279</v>
      </c>
      <c r="I291">
        <f t="shared" si="8"/>
        <v>1739</v>
      </c>
      <c r="J291">
        <f t="shared" si="9"/>
        <v>1486</v>
      </c>
    </row>
    <row r="292" spans="7:10" x14ac:dyDescent="0.3">
      <c r="G292">
        <f>both!N300</f>
        <v>0.66346001397282706</v>
      </c>
      <c r="H292">
        <f>soc!N300</f>
        <v>0.51621399769208798</v>
      </c>
      <c r="I292">
        <f t="shared" si="8"/>
        <v>1353</v>
      </c>
      <c r="J292">
        <f t="shared" si="9"/>
        <v>1123</v>
      </c>
    </row>
    <row r="293" spans="7:10" x14ac:dyDescent="0.3">
      <c r="G293">
        <f>both!N301</f>
        <v>0.42990122091575478</v>
      </c>
      <c r="H293">
        <f>soc!N301</f>
        <v>5.7530244847463538E-2</v>
      </c>
      <c r="I293">
        <f t="shared" si="8"/>
        <v>1009</v>
      </c>
      <c r="J293">
        <f t="shared" si="9"/>
        <v>631</v>
      </c>
    </row>
    <row r="294" spans="7:10" x14ac:dyDescent="0.3">
      <c r="G294">
        <f>both!N302</f>
        <v>0.33764450883390729</v>
      </c>
      <c r="H294">
        <f>soc!N302</f>
        <v>2.1509184759160842E-3</v>
      </c>
      <c r="I294">
        <f t="shared" si="8"/>
        <v>894</v>
      </c>
      <c r="J294">
        <f t="shared" si="9"/>
        <v>256</v>
      </c>
    </row>
    <row r="295" spans="7:10" x14ac:dyDescent="0.3">
      <c r="G295">
        <f>both!N303</f>
        <v>0.52740813271815079</v>
      </c>
      <c r="H295">
        <f>soc!N303</f>
        <v>2.1827246318014963E-2</v>
      </c>
      <c r="I295">
        <f t="shared" si="8"/>
        <v>1141</v>
      </c>
      <c r="J295">
        <f t="shared" si="9"/>
        <v>515</v>
      </c>
    </row>
    <row r="296" spans="7:10" x14ac:dyDescent="0.3">
      <c r="G296">
        <f>both!N304</f>
        <v>0.55833272688881042</v>
      </c>
      <c r="H296">
        <f>soc!N304</f>
        <v>0.26915001357492807</v>
      </c>
      <c r="I296">
        <f t="shared" si="8"/>
        <v>1186</v>
      </c>
      <c r="J296">
        <f t="shared" si="9"/>
        <v>823</v>
      </c>
    </row>
    <row r="297" spans="7:10" x14ac:dyDescent="0.3">
      <c r="G297">
        <f>both!N305</f>
        <v>0.86117779594020405</v>
      </c>
      <c r="H297">
        <f>soc!N305</f>
        <v>0.9085835388101613</v>
      </c>
      <c r="I297">
        <f t="shared" si="8"/>
        <v>1738</v>
      </c>
      <c r="J297">
        <f t="shared" si="9"/>
        <v>1843</v>
      </c>
    </row>
    <row r="298" spans="7:10" x14ac:dyDescent="0.3">
      <c r="G298">
        <f>both!N306</f>
        <v>0.96437446398981463</v>
      </c>
      <c r="H298">
        <f>soc!N306</f>
        <v>0.99999574567480753</v>
      </c>
      <c r="I298">
        <f t="shared" si="8"/>
        <v>1943</v>
      </c>
      <c r="J298">
        <f t="shared" si="9"/>
        <v>1999</v>
      </c>
    </row>
    <row r="299" spans="7:10" x14ac:dyDescent="0.3">
      <c r="G299">
        <f>both!N307</f>
        <v>0.95113184816170648</v>
      </c>
      <c r="H299">
        <f>soc!N307</f>
        <v>0.12650546713351604</v>
      </c>
      <c r="I299">
        <f t="shared" si="8"/>
        <v>1926</v>
      </c>
      <c r="J299">
        <f t="shared" si="9"/>
        <v>712</v>
      </c>
    </row>
    <row r="300" spans="7:10" x14ac:dyDescent="0.3">
      <c r="G300">
        <f>both!N308</f>
        <v>0.23026784523849908</v>
      </c>
      <c r="H300">
        <f>soc!N308</f>
        <v>0.38954509277563709</v>
      </c>
      <c r="I300">
        <f t="shared" si="8"/>
        <v>790</v>
      </c>
      <c r="J300">
        <f t="shared" si="9"/>
        <v>962</v>
      </c>
    </row>
    <row r="301" spans="7:10" x14ac:dyDescent="0.3">
      <c r="G301">
        <f>both!N309</f>
        <v>0.66013214938075004</v>
      </c>
      <c r="H301">
        <f>soc!N309</f>
        <v>5.0897186353595428E-2</v>
      </c>
      <c r="I301">
        <f t="shared" si="8"/>
        <v>1345</v>
      </c>
      <c r="J301">
        <f t="shared" si="9"/>
        <v>614</v>
      </c>
    </row>
    <row r="302" spans="7:10" x14ac:dyDescent="0.3">
      <c r="G302">
        <f>both!N310</f>
        <v>0.833747638492503</v>
      </c>
      <c r="H302">
        <f>soc!N310</f>
        <v>5.2426022629354585E-2</v>
      </c>
      <c r="I302">
        <f t="shared" si="8"/>
        <v>1678</v>
      </c>
      <c r="J302">
        <f t="shared" si="9"/>
        <v>619</v>
      </c>
    </row>
    <row r="303" spans="7:10" x14ac:dyDescent="0.3">
      <c r="G303">
        <f>both!N311</f>
        <v>0.25989233365220754</v>
      </c>
      <c r="H303">
        <f>soc!N311</f>
        <v>7.7694515816201289E-3</v>
      </c>
      <c r="I303">
        <f t="shared" si="8"/>
        <v>816</v>
      </c>
      <c r="J303">
        <f t="shared" si="9"/>
        <v>391</v>
      </c>
    </row>
    <row r="304" spans="7:10" x14ac:dyDescent="0.3">
      <c r="G304">
        <f>both!N312</f>
        <v>0.16201610003691799</v>
      </c>
      <c r="H304">
        <f>soc!N312</f>
        <v>5.8572273785617144E-5</v>
      </c>
      <c r="I304">
        <f t="shared" si="8"/>
        <v>737</v>
      </c>
      <c r="J304">
        <f t="shared" si="9"/>
        <v>38</v>
      </c>
    </row>
    <row r="305" spans="7:10" x14ac:dyDescent="0.3">
      <c r="G305">
        <f>both!N313</f>
        <v>0.66397311837942663</v>
      </c>
      <c r="H305">
        <f>soc!N313</f>
        <v>0.5199216023256924</v>
      </c>
      <c r="I305">
        <f t="shared" si="8"/>
        <v>1354</v>
      </c>
      <c r="J305">
        <f t="shared" si="9"/>
        <v>1128</v>
      </c>
    </row>
    <row r="306" spans="7:10" x14ac:dyDescent="0.3">
      <c r="G306">
        <f>both!N314</f>
        <v>0.77698248985863594</v>
      </c>
      <c r="H306">
        <f>soc!N314</f>
        <v>5.5774293467577792E-4</v>
      </c>
      <c r="I306">
        <f t="shared" si="8"/>
        <v>1568</v>
      </c>
      <c r="J306">
        <f t="shared" si="9"/>
        <v>137</v>
      </c>
    </row>
    <row r="307" spans="7:10" x14ac:dyDescent="0.3">
      <c r="G307">
        <f>both!N315</f>
        <v>0.76026843397535671</v>
      </c>
      <c r="H307">
        <f>soc!N315</f>
        <v>3.2202748693509954E-2</v>
      </c>
      <c r="I307">
        <f t="shared" si="8"/>
        <v>1535</v>
      </c>
      <c r="J307">
        <f t="shared" si="9"/>
        <v>559</v>
      </c>
    </row>
    <row r="308" spans="7:10" x14ac:dyDescent="0.3">
      <c r="G308">
        <f>both!N316</f>
        <v>0.61923678071690047</v>
      </c>
      <c r="H308">
        <f>soc!N316</f>
        <v>0.44844009993609757</v>
      </c>
      <c r="I308">
        <f t="shared" si="8"/>
        <v>1285</v>
      </c>
      <c r="J308">
        <f t="shared" si="9"/>
        <v>1024</v>
      </c>
    </row>
    <row r="309" spans="7:10" x14ac:dyDescent="0.3">
      <c r="G309">
        <f>both!N317</f>
        <v>0.79019245845992736</v>
      </c>
      <c r="H309">
        <f>soc!N317</f>
        <v>9.0869157835634443E-3</v>
      </c>
      <c r="I309">
        <f t="shared" si="8"/>
        <v>1581</v>
      </c>
      <c r="J309">
        <f t="shared" si="9"/>
        <v>417</v>
      </c>
    </row>
    <row r="310" spans="7:10" x14ac:dyDescent="0.3">
      <c r="G310">
        <f>both!N318</f>
        <v>0.86483567777269776</v>
      </c>
      <c r="H310">
        <f>soc!N318</f>
        <v>9.178570809188151E-2</v>
      </c>
      <c r="I310">
        <f t="shared" si="8"/>
        <v>1752</v>
      </c>
      <c r="J310">
        <f t="shared" si="9"/>
        <v>677</v>
      </c>
    </row>
    <row r="311" spans="7:10" x14ac:dyDescent="0.3">
      <c r="G311">
        <f>both!N319</f>
        <v>0.16436403448902109</v>
      </c>
      <c r="H311">
        <f>soc!N319</f>
        <v>3.2902366352943559E-2</v>
      </c>
      <c r="I311">
        <f t="shared" si="8"/>
        <v>739</v>
      </c>
      <c r="J311">
        <f t="shared" si="9"/>
        <v>565</v>
      </c>
    </row>
    <row r="312" spans="7:10" x14ac:dyDescent="0.3">
      <c r="G312">
        <f>both!N320</f>
        <v>0.92554199815066163</v>
      </c>
      <c r="H312">
        <f>soc!N320</f>
        <v>1.6656138695783293E-3</v>
      </c>
      <c r="I312">
        <f t="shared" si="8"/>
        <v>1878</v>
      </c>
      <c r="J312">
        <f t="shared" si="9"/>
        <v>226</v>
      </c>
    </row>
    <row r="313" spans="7:10" x14ac:dyDescent="0.3">
      <c r="G313">
        <f>both!N321</f>
        <v>0.30820493688372397</v>
      </c>
      <c r="H313">
        <f>soc!N321</f>
        <v>0.16502156032824114</v>
      </c>
      <c r="I313">
        <f t="shared" si="8"/>
        <v>859</v>
      </c>
      <c r="J313">
        <f t="shared" si="9"/>
        <v>740</v>
      </c>
    </row>
    <row r="314" spans="7:10" x14ac:dyDescent="0.3">
      <c r="G314">
        <f>both!N322</f>
        <v>0.5342090397527739</v>
      </c>
      <c r="H314">
        <f>soc!N322</f>
        <v>3.3855115575261684E-2</v>
      </c>
      <c r="I314">
        <f t="shared" si="8"/>
        <v>1152</v>
      </c>
      <c r="J314">
        <f t="shared" si="9"/>
        <v>568</v>
      </c>
    </row>
    <row r="315" spans="7:10" x14ac:dyDescent="0.3">
      <c r="G315">
        <f>both!N323</f>
        <v>0.72109669158553491</v>
      </c>
      <c r="H315">
        <f>soc!N323</f>
        <v>1.2877713219606995E-2</v>
      </c>
      <c r="I315">
        <f t="shared" si="8"/>
        <v>1457</v>
      </c>
      <c r="J315">
        <f t="shared" si="9"/>
        <v>454</v>
      </c>
    </row>
    <row r="316" spans="7:10" x14ac:dyDescent="0.3">
      <c r="G316">
        <f>both!N324</f>
        <v>0.59120880088438432</v>
      </c>
      <c r="H316">
        <f>soc!N324</f>
        <v>0.30274478235073227</v>
      </c>
      <c r="I316">
        <f t="shared" si="8"/>
        <v>1244</v>
      </c>
      <c r="J316">
        <f t="shared" si="9"/>
        <v>851</v>
      </c>
    </row>
    <row r="317" spans="7:10" x14ac:dyDescent="0.3">
      <c r="G317">
        <f>both!N325</f>
        <v>0.32464520533602836</v>
      </c>
      <c r="H317">
        <f>soc!N325</f>
        <v>1.1212011053813517E-3</v>
      </c>
      <c r="I317">
        <f t="shared" si="8"/>
        <v>877</v>
      </c>
      <c r="J317">
        <f t="shared" si="9"/>
        <v>184</v>
      </c>
    </row>
    <row r="318" spans="7:10" x14ac:dyDescent="0.3">
      <c r="G318">
        <f>both!N326</f>
        <v>0.74285603065213524</v>
      </c>
      <c r="H318">
        <f>soc!N326</f>
        <v>0.91655779002659155</v>
      </c>
      <c r="I318">
        <f t="shared" si="8"/>
        <v>1501</v>
      </c>
      <c r="J318">
        <f t="shared" si="9"/>
        <v>1858</v>
      </c>
    </row>
    <row r="319" spans="7:10" x14ac:dyDescent="0.3">
      <c r="G319">
        <f>both!N327</f>
        <v>0.70621131731344733</v>
      </c>
      <c r="H319">
        <f>soc!N327</f>
        <v>2.0066748897832491E-2</v>
      </c>
      <c r="I319">
        <f t="shared" si="8"/>
        <v>1425</v>
      </c>
      <c r="J319">
        <f t="shared" si="9"/>
        <v>507</v>
      </c>
    </row>
    <row r="320" spans="7:10" x14ac:dyDescent="0.3">
      <c r="G320">
        <f>both!N328</f>
        <v>0.33846274528302478</v>
      </c>
      <c r="H320">
        <f>soc!N328</f>
        <v>6.5002571203347168E-2</v>
      </c>
      <c r="I320">
        <f t="shared" si="8"/>
        <v>896</v>
      </c>
      <c r="J320">
        <f t="shared" si="9"/>
        <v>640</v>
      </c>
    </row>
    <row r="321" spans="7:10" x14ac:dyDescent="0.3">
      <c r="G321">
        <f>both!N329</f>
        <v>0.91444836761214254</v>
      </c>
      <c r="H321">
        <f>soc!N329</f>
        <v>0.99814993168060395</v>
      </c>
      <c r="I321">
        <f t="shared" si="8"/>
        <v>1852</v>
      </c>
      <c r="J321">
        <f t="shared" si="9"/>
        <v>1986</v>
      </c>
    </row>
    <row r="322" spans="7:10" x14ac:dyDescent="0.3">
      <c r="G322">
        <f>both!N330</f>
        <v>0.5141710982554405</v>
      </c>
      <c r="H322">
        <f>soc!N330</f>
        <v>0.98797681296951823</v>
      </c>
      <c r="I322">
        <f t="shared" si="8"/>
        <v>1119</v>
      </c>
      <c r="J322">
        <f t="shared" si="9"/>
        <v>1978</v>
      </c>
    </row>
    <row r="323" spans="7:10" x14ac:dyDescent="0.3">
      <c r="G323">
        <f>both!N331</f>
        <v>0.40127896071021901</v>
      </c>
      <c r="H323">
        <f>soc!N331</f>
        <v>3.2301876019298729E-2</v>
      </c>
      <c r="I323">
        <f t="shared" si="8"/>
        <v>976</v>
      </c>
      <c r="J323">
        <f t="shared" si="9"/>
        <v>560</v>
      </c>
    </row>
    <row r="324" spans="7:10" x14ac:dyDescent="0.3">
      <c r="G324">
        <f>both!N332</f>
        <v>0.38271966527257356</v>
      </c>
      <c r="H324">
        <f>soc!N332</f>
        <v>9.8930129750815124E-2</v>
      </c>
      <c r="I324">
        <f t="shared" si="8"/>
        <v>949</v>
      </c>
      <c r="J324">
        <f t="shared" si="9"/>
        <v>681</v>
      </c>
    </row>
    <row r="325" spans="7:10" x14ac:dyDescent="0.3">
      <c r="G325">
        <f>both!N333</f>
        <v>0.68715950032054984</v>
      </c>
      <c r="H325">
        <f>soc!N333</f>
        <v>0.81357611014601683</v>
      </c>
      <c r="I325">
        <f t="shared" ref="I325:I388" si="10">RANK(G325,$G$4:$H$1004,1) + (COUNTIF($G$4:$H$1004,G325)-1)/2</f>
        <v>1387</v>
      </c>
      <c r="J325">
        <f t="shared" ref="J325:J388" si="11">RANK(H325,$G$4:$H$1004,1) + (COUNTIF($G$4:$H$1004,H325)-1)/2</f>
        <v>1629</v>
      </c>
    </row>
    <row r="326" spans="7:10" x14ac:dyDescent="0.3">
      <c r="G326">
        <f>both!N334</f>
        <v>0.64357656267825303</v>
      </c>
      <c r="H326">
        <f>soc!N334</f>
        <v>2.4662312909244005E-2</v>
      </c>
      <c r="I326">
        <f t="shared" si="10"/>
        <v>1318</v>
      </c>
      <c r="J326">
        <f t="shared" si="11"/>
        <v>533</v>
      </c>
    </row>
    <row r="327" spans="7:10" x14ac:dyDescent="0.3">
      <c r="G327">
        <f>both!N335</f>
        <v>0.61273459576424782</v>
      </c>
      <c r="H327">
        <f>soc!N335</f>
        <v>4.0246671760538477E-3</v>
      </c>
      <c r="I327">
        <f t="shared" si="10"/>
        <v>1275</v>
      </c>
      <c r="J327">
        <f t="shared" si="11"/>
        <v>315</v>
      </c>
    </row>
    <row r="328" spans="7:10" x14ac:dyDescent="0.3">
      <c r="G328">
        <f>both!N336</f>
        <v>0.89518180759489607</v>
      </c>
      <c r="H328">
        <f>soc!N336</f>
        <v>1.2656211009995897E-3</v>
      </c>
      <c r="I328">
        <f t="shared" si="10"/>
        <v>1817</v>
      </c>
      <c r="J328">
        <f t="shared" si="11"/>
        <v>193</v>
      </c>
    </row>
    <row r="329" spans="7:10" x14ac:dyDescent="0.3">
      <c r="G329">
        <f>both!N337</f>
        <v>0.82755257446984842</v>
      </c>
      <c r="H329">
        <f>soc!N337</f>
        <v>0.19758746066044128</v>
      </c>
      <c r="I329">
        <f t="shared" si="10"/>
        <v>1657</v>
      </c>
      <c r="J329">
        <f t="shared" si="11"/>
        <v>771</v>
      </c>
    </row>
    <row r="330" spans="7:10" x14ac:dyDescent="0.3">
      <c r="G330">
        <f>both!N338</f>
        <v>0.96122390820487658</v>
      </c>
      <c r="H330">
        <f>soc!N338</f>
        <v>9.9587663348570041E-2</v>
      </c>
      <c r="I330">
        <f t="shared" si="10"/>
        <v>1941</v>
      </c>
      <c r="J330">
        <f t="shared" si="11"/>
        <v>683</v>
      </c>
    </row>
    <row r="331" spans="7:10" x14ac:dyDescent="0.3">
      <c r="G331">
        <f>both!N339</f>
        <v>0.43141053744431701</v>
      </c>
      <c r="H331">
        <f>soc!N339</f>
        <v>1.3089212880612081E-2</v>
      </c>
      <c r="I331">
        <f t="shared" si="10"/>
        <v>1012</v>
      </c>
      <c r="J331">
        <f t="shared" si="11"/>
        <v>455</v>
      </c>
    </row>
    <row r="332" spans="7:10" x14ac:dyDescent="0.3">
      <c r="G332">
        <f>both!N340</f>
        <v>0.6155809094821415</v>
      </c>
      <c r="H332">
        <f>soc!N340</f>
        <v>0.98377858084788172</v>
      </c>
      <c r="I332">
        <f t="shared" si="10"/>
        <v>1281</v>
      </c>
      <c r="J332">
        <f t="shared" si="11"/>
        <v>1971</v>
      </c>
    </row>
    <row r="333" spans="7:10" x14ac:dyDescent="0.3">
      <c r="G333">
        <f>both!N341</f>
        <v>0.82920009757127999</v>
      </c>
      <c r="H333">
        <f>soc!N341</f>
        <v>6.4053814971921225E-2</v>
      </c>
      <c r="I333">
        <f t="shared" si="10"/>
        <v>1662</v>
      </c>
      <c r="J333">
        <f t="shared" si="11"/>
        <v>639</v>
      </c>
    </row>
    <row r="334" spans="7:10" x14ac:dyDescent="0.3">
      <c r="G334">
        <f>both!N342</f>
        <v>0.94568933912099107</v>
      </c>
      <c r="H334">
        <f>soc!N342</f>
        <v>2.6160777297107307E-2</v>
      </c>
      <c r="I334">
        <f t="shared" si="10"/>
        <v>1914</v>
      </c>
      <c r="J334">
        <f t="shared" si="11"/>
        <v>538</v>
      </c>
    </row>
    <row r="335" spans="7:10" x14ac:dyDescent="0.3">
      <c r="G335">
        <f>both!N343</f>
        <v>0.71089052446775047</v>
      </c>
      <c r="H335">
        <f>soc!N343</f>
        <v>0.83118682087062912</v>
      </c>
      <c r="I335">
        <f t="shared" si="10"/>
        <v>1432</v>
      </c>
      <c r="J335">
        <f t="shared" si="11"/>
        <v>1671</v>
      </c>
    </row>
    <row r="336" spans="7:10" x14ac:dyDescent="0.3">
      <c r="G336">
        <f>both!N344</f>
        <v>0.95303586438834886</v>
      </c>
      <c r="H336">
        <f>soc!N344</f>
        <v>0.19307360854126918</v>
      </c>
      <c r="I336">
        <f t="shared" si="10"/>
        <v>1930</v>
      </c>
      <c r="J336">
        <f t="shared" si="11"/>
        <v>765</v>
      </c>
    </row>
    <row r="337" spans="7:10" x14ac:dyDescent="0.3">
      <c r="G337">
        <f>both!N345</f>
        <v>0.90386656454832193</v>
      </c>
      <c r="H337">
        <f>soc!N345</f>
        <v>8.0237447747754202E-3</v>
      </c>
      <c r="I337">
        <f t="shared" si="10"/>
        <v>1836</v>
      </c>
      <c r="J337">
        <f t="shared" si="11"/>
        <v>396</v>
      </c>
    </row>
    <row r="338" spans="7:10" x14ac:dyDescent="0.3">
      <c r="G338">
        <f>both!N346</f>
        <v>0.52850263276073284</v>
      </c>
      <c r="H338">
        <f>soc!N346</f>
        <v>1.4417379981913332E-3</v>
      </c>
      <c r="I338">
        <f t="shared" si="10"/>
        <v>1143</v>
      </c>
      <c r="J338">
        <f t="shared" si="11"/>
        <v>209</v>
      </c>
    </row>
    <row r="339" spans="7:10" x14ac:dyDescent="0.3">
      <c r="G339">
        <f>both!N347</f>
        <v>0.60192628695035288</v>
      </c>
      <c r="H339">
        <f>soc!N347</f>
        <v>1.8253697632883929E-3</v>
      </c>
      <c r="I339">
        <f t="shared" si="10"/>
        <v>1263</v>
      </c>
      <c r="J339">
        <f t="shared" si="11"/>
        <v>239</v>
      </c>
    </row>
    <row r="340" spans="7:10" x14ac:dyDescent="0.3">
      <c r="G340">
        <f>both!N348</f>
        <v>0.92961959546066153</v>
      </c>
      <c r="H340">
        <f>soc!N348</f>
        <v>0.34143380406960377</v>
      </c>
      <c r="I340">
        <f t="shared" si="10"/>
        <v>1886</v>
      </c>
      <c r="J340">
        <f t="shared" si="11"/>
        <v>903</v>
      </c>
    </row>
    <row r="341" spans="7:10" x14ac:dyDescent="0.3">
      <c r="G341">
        <f>both!N349</f>
        <v>0.21196985261247792</v>
      </c>
      <c r="H341">
        <f>soc!N349</f>
        <v>0.94811271989321999</v>
      </c>
      <c r="I341">
        <f t="shared" si="10"/>
        <v>780</v>
      </c>
      <c r="J341">
        <f t="shared" si="11"/>
        <v>1919</v>
      </c>
    </row>
    <row r="342" spans="7:10" x14ac:dyDescent="0.3">
      <c r="G342">
        <f>both!N350</f>
        <v>0.84599579661730551</v>
      </c>
      <c r="H342">
        <f>soc!N350</f>
        <v>0.98873819962655007</v>
      </c>
      <c r="I342">
        <f t="shared" si="10"/>
        <v>1708</v>
      </c>
      <c r="J342">
        <f t="shared" si="11"/>
        <v>1979</v>
      </c>
    </row>
    <row r="343" spans="7:10" x14ac:dyDescent="0.3">
      <c r="G343">
        <f>both!N351</f>
        <v>0.5548887315414176</v>
      </c>
      <c r="H343">
        <f>soc!N351</f>
        <v>0.27303424329690029</v>
      </c>
      <c r="I343">
        <f t="shared" si="10"/>
        <v>1181</v>
      </c>
      <c r="J343">
        <f t="shared" si="11"/>
        <v>826</v>
      </c>
    </row>
    <row r="344" spans="7:10" x14ac:dyDescent="0.3">
      <c r="G344">
        <f>both!N352</f>
        <v>0.73493909259378032</v>
      </c>
      <c r="H344">
        <f>soc!N352</f>
        <v>4.4931073263957347E-3</v>
      </c>
      <c r="I344">
        <f t="shared" si="10"/>
        <v>1480</v>
      </c>
      <c r="J344">
        <f t="shared" si="11"/>
        <v>329</v>
      </c>
    </row>
    <row r="345" spans="7:10" x14ac:dyDescent="0.3">
      <c r="G345">
        <f>both!N353</f>
        <v>0.75449418344814867</v>
      </c>
      <c r="H345">
        <f>soc!N353</f>
        <v>4.7480779612367165E-2</v>
      </c>
      <c r="I345">
        <f t="shared" si="10"/>
        <v>1521</v>
      </c>
      <c r="J345">
        <f t="shared" si="11"/>
        <v>605</v>
      </c>
    </row>
    <row r="346" spans="7:10" x14ac:dyDescent="0.3">
      <c r="G346">
        <f>both!N354</f>
        <v>0.38599226598282632</v>
      </c>
      <c r="H346">
        <f>soc!N354</f>
        <v>1.4059536998824472E-2</v>
      </c>
      <c r="I346">
        <f t="shared" si="10"/>
        <v>957</v>
      </c>
      <c r="J346">
        <f t="shared" si="11"/>
        <v>464</v>
      </c>
    </row>
    <row r="347" spans="7:10" x14ac:dyDescent="0.3">
      <c r="G347">
        <f>both!N355</f>
        <v>0.55670431122393449</v>
      </c>
      <c r="H347">
        <f>soc!N355</f>
        <v>9.0588794641799277E-3</v>
      </c>
      <c r="I347">
        <f t="shared" si="10"/>
        <v>1183</v>
      </c>
      <c r="J347">
        <f t="shared" si="11"/>
        <v>416</v>
      </c>
    </row>
    <row r="348" spans="7:10" x14ac:dyDescent="0.3">
      <c r="G348">
        <f>both!N356</f>
        <v>0.74084859802224423</v>
      </c>
      <c r="H348">
        <f>soc!N356</f>
        <v>0.96007801369979184</v>
      </c>
      <c r="I348">
        <f t="shared" si="10"/>
        <v>1498</v>
      </c>
      <c r="J348">
        <f t="shared" si="11"/>
        <v>1939</v>
      </c>
    </row>
    <row r="349" spans="7:10" x14ac:dyDescent="0.3">
      <c r="G349">
        <f>both!N357</f>
        <v>0.87560026198199381</v>
      </c>
      <c r="H349">
        <f>soc!N357</f>
        <v>5.0554438518683915E-4</v>
      </c>
      <c r="I349">
        <f t="shared" si="10"/>
        <v>1778</v>
      </c>
      <c r="J349">
        <f t="shared" si="11"/>
        <v>129</v>
      </c>
    </row>
    <row r="350" spans="7:10" x14ac:dyDescent="0.3">
      <c r="G350">
        <f>both!N358</f>
        <v>0.90305946445040719</v>
      </c>
      <c r="H350">
        <f>soc!N358</f>
        <v>1.4804801874945421E-5</v>
      </c>
      <c r="I350">
        <f t="shared" si="10"/>
        <v>1833</v>
      </c>
      <c r="J350">
        <f t="shared" si="11"/>
        <v>15</v>
      </c>
    </row>
    <row r="351" spans="7:10" x14ac:dyDescent="0.3">
      <c r="G351">
        <f>both!N359</f>
        <v>0.7803959878110176</v>
      </c>
      <c r="H351">
        <f>soc!N359</f>
        <v>5.7745421508013345E-5</v>
      </c>
      <c r="I351">
        <f t="shared" si="10"/>
        <v>1572</v>
      </c>
      <c r="J351">
        <f t="shared" si="11"/>
        <v>37</v>
      </c>
    </row>
    <row r="352" spans="7:10" x14ac:dyDescent="0.3">
      <c r="G352">
        <f>both!N360</f>
        <v>0.47270022599529155</v>
      </c>
      <c r="H352">
        <f>soc!N360</f>
        <v>0.23203115882075487</v>
      </c>
      <c r="I352">
        <f t="shared" si="10"/>
        <v>1062</v>
      </c>
      <c r="J352">
        <f t="shared" si="11"/>
        <v>794</v>
      </c>
    </row>
    <row r="353" spans="7:10" x14ac:dyDescent="0.3">
      <c r="G353">
        <f>both!N361</f>
        <v>0.94783090371885093</v>
      </c>
      <c r="H353">
        <f>soc!N361</f>
        <v>3.1212665444804593E-2</v>
      </c>
      <c r="I353">
        <f t="shared" si="10"/>
        <v>1918</v>
      </c>
      <c r="J353">
        <f t="shared" si="11"/>
        <v>554</v>
      </c>
    </row>
    <row r="354" spans="7:10" x14ac:dyDescent="0.3">
      <c r="G354">
        <f>both!N362</f>
        <v>0.93457551649781234</v>
      </c>
      <c r="H354">
        <f>soc!N362</f>
        <v>1.9542627221406229E-3</v>
      </c>
      <c r="I354">
        <f t="shared" si="10"/>
        <v>1892</v>
      </c>
      <c r="J354">
        <f t="shared" si="11"/>
        <v>246</v>
      </c>
    </row>
    <row r="355" spans="7:10" x14ac:dyDescent="0.3">
      <c r="G355">
        <f>both!N363</f>
        <v>0.78001822134718035</v>
      </c>
      <c r="H355">
        <f>soc!N363</f>
        <v>7.1404253882584251E-3</v>
      </c>
      <c r="I355">
        <f t="shared" si="10"/>
        <v>1571</v>
      </c>
      <c r="J355">
        <f t="shared" si="11"/>
        <v>381</v>
      </c>
    </row>
    <row r="356" spans="7:10" x14ac:dyDescent="0.3">
      <c r="G356">
        <f>both!N364</f>
        <v>0.55455214079139492</v>
      </c>
      <c r="H356">
        <f>soc!N364</f>
        <v>0.52116274436282661</v>
      </c>
      <c r="I356">
        <f t="shared" si="10"/>
        <v>1180</v>
      </c>
      <c r="J356">
        <f t="shared" si="11"/>
        <v>1133</v>
      </c>
    </row>
    <row r="357" spans="7:10" x14ac:dyDescent="0.3">
      <c r="G357">
        <f>both!N365</f>
        <v>0.66642887487898239</v>
      </c>
      <c r="H357">
        <f>soc!N365</f>
        <v>0.93306277303031893</v>
      </c>
      <c r="I357">
        <f t="shared" si="10"/>
        <v>1359</v>
      </c>
      <c r="J357">
        <f t="shared" si="11"/>
        <v>1890</v>
      </c>
    </row>
    <row r="358" spans="7:10" x14ac:dyDescent="0.3">
      <c r="G358">
        <f>both!N366</f>
        <v>0.96577866912763255</v>
      </c>
      <c r="H358">
        <f>soc!N366</f>
        <v>0.21838699090741065</v>
      </c>
      <c r="I358">
        <f t="shared" si="10"/>
        <v>1946</v>
      </c>
      <c r="J358">
        <f t="shared" si="11"/>
        <v>782</v>
      </c>
    </row>
    <row r="359" spans="7:10" x14ac:dyDescent="0.3">
      <c r="G359">
        <f>both!N367</f>
        <v>0.86174047216497751</v>
      </c>
      <c r="H359">
        <f>soc!N367</f>
        <v>0.20113552165906418</v>
      </c>
      <c r="I359">
        <f t="shared" si="10"/>
        <v>1742</v>
      </c>
      <c r="J359">
        <f t="shared" si="11"/>
        <v>773</v>
      </c>
    </row>
    <row r="360" spans="7:10" x14ac:dyDescent="0.3">
      <c r="G360">
        <f>both!N368</f>
        <v>0.13560732848570461</v>
      </c>
      <c r="H360">
        <f>soc!N368</f>
        <v>0.75565430780660603</v>
      </c>
      <c r="I360">
        <f t="shared" si="10"/>
        <v>717</v>
      </c>
      <c r="J360">
        <f t="shared" si="11"/>
        <v>1526</v>
      </c>
    </row>
    <row r="361" spans="7:10" x14ac:dyDescent="0.3">
      <c r="G361">
        <f>both!N369</f>
        <v>0.80134401321116289</v>
      </c>
      <c r="H361">
        <f>soc!N369</f>
        <v>2.5249411557433375E-5</v>
      </c>
      <c r="I361">
        <f t="shared" si="10"/>
        <v>1608</v>
      </c>
      <c r="J361">
        <f t="shared" si="11"/>
        <v>19</v>
      </c>
    </row>
    <row r="362" spans="7:10" x14ac:dyDescent="0.3">
      <c r="G362">
        <f>both!N370</f>
        <v>0.65929387174194476</v>
      </c>
      <c r="H362">
        <f>soc!N370</f>
        <v>5.6405341578600493E-4</v>
      </c>
      <c r="I362">
        <f t="shared" si="10"/>
        <v>1342</v>
      </c>
      <c r="J362">
        <f t="shared" si="11"/>
        <v>138</v>
      </c>
    </row>
    <row r="363" spans="7:10" x14ac:dyDescent="0.3">
      <c r="G363">
        <f>both!N371</f>
        <v>0.51572030447632744</v>
      </c>
      <c r="H363">
        <f>soc!N371</f>
        <v>1.3126087094378664E-3</v>
      </c>
      <c r="I363">
        <f t="shared" si="10"/>
        <v>1121</v>
      </c>
      <c r="J363">
        <f t="shared" si="11"/>
        <v>198</v>
      </c>
    </row>
    <row r="364" spans="7:10" x14ac:dyDescent="0.3">
      <c r="G364">
        <f>both!N372</f>
        <v>0.59027223310982635</v>
      </c>
      <c r="H364">
        <f>soc!N372</f>
        <v>3.9059834029609979E-3</v>
      </c>
      <c r="I364">
        <f t="shared" si="10"/>
        <v>1239</v>
      </c>
      <c r="J364">
        <f t="shared" si="11"/>
        <v>311</v>
      </c>
    </row>
    <row r="365" spans="7:10" x14ac:dyDescent="0.3">
      <c r="G365">
        <f>both!N373</f>
        <v>0.71407859380553651</v>
      </c>
      <c r="H365">
        <f>soc!N373</f>
        <v>1.0787766027855765E-2</v>
      </c>
      <c r="I365">
        <f t="shared" si="10"/>
        <v>1439</v>
      </c>
      <c r="J365">
        <f t="shared" si="11"/>
        <v>438</v>
      </c>
    </row>
    <row r="366" spans="7:10" x14ac:dyDescent="0.3">
      <c r="G366">
        <f>both!N374</f>
        <v>0.56815832925023146</v>
      </c>
      <c r="H366">
        <f>soc!N374</f>
        <v>0.18551073330075749</v>
      </c>
      <c r="I366">
        <f t="shared" si="10"/>
        <v>1205</v>
      </c>
      <c r="J366">
        <f t="shared" si="11"/>
        <v>757</v>
      </c>
    </row>
    <row r="367" spans="7:10" x14ac:dyDescent="0.3">
      <c r="G367">
        <f>both!N375</f>
        <v>0.74884045771916541</v>
      </c>
      <c r="H367">
        <f>soc!N375</f>
        <v>3.9486606222843395E-4</v>
      </c>
      <c r="I367">
        <f t="shared" si="10"/>
        <v>1511</v>
      </c>
      <c r="J367">
        <f t="shared" si="11"/>
        <v>114</v>
      </c>
    </row>
    <row r="368" spans="7:10" x14ac:dyDescent="0.3">
      <c r="G368">
        <f>both!N376</f>
        <v>0.63541848504685527</v>
      </c>
      <c r="H368">
        <f>soc!N376</f>
        <v>0.53663671029184234</v>
      </c>
      <c r="I368">
        <f t="shared" si="10"/>
        <v>1309</v>
      </c>
      <c r="J368">
        <f t="shared" si="11"/>
        <v>1154</v>
      </c>
    </row>
    <row r="369" spans="7:10" x14ac:dyDescent="0.3">
      <c r="G369">
        <f>both!N377</f>
        <v>0.63424936903564322</v>
      </c>
      <c r="H369">
        <f>soc!N377</f>
        <v>4.9242696741906714E-3</v>
      </c>
      <c r="I369">
        <f t="shared" si="10"/>
        <v>1304</v>
      </c>
      <c r="J369">
        <f t="shared" si="11"/>
        <v>347</v>
      </c>
    </row>
    <row r="370" spans="7:10" x14ac:dyDescent="0.3">
      <c r="G370">
        <f>both!N378</f>
        <v>0.69042370886642512</v>
      </c>
      <c r="H370">
        <f>soc!N378</f>
        <v>0.42143027349607515</v>
      </c>
      <c r="I370">
        <f t="shared" si="10"/>
        <v>1396</v>
      </c>
      <c r="J370">
        <f t="shared" si="11"/>
        <v>1002</v>
      </c>
    </row>
    <row r="371" spans="7:10" x14ac:dyDescent="0.3">
      <c r="G371">
        <f>both!N379</f>
        <v>0.92238899702609123</v>
      </c>
      <c r="H371">
        <f>soc!N379</f>
        <v>3.1941745689796489E-5</v>
      </c>
      <c r="I371">
        <f t="shared" si="10"/>
        <v>1872</v>
      </c>
      <c r="J371">
        <f t="shared" si="11"/>
        <v>22</v>
      </c>
    </row>
    <row r="372" spans="7:10" x14ac:dyDescent="0.3">
      <c r="G372">
        <f>both!N380</f>
        <v>0.48272226853188072</v>
      </c>
      <c r="H372">
        <f>soc!N380</f>
        <v>5.284265296213393E-3</v>
      </c>
      <c r="I372">
        <f t="shared" si="10"/>
        <v>1071</v>
      </c>
      <c r="J372">
        <f t="shared" si="11"/>
        <v>356</v>
      </c>
    </row>
    <row r="373" spans="7:10" x14ac:dyDescent="0.3">
      <c r="G373">
        <f>both!N381</f>
        <v>0.58694387771817536</v>
      </c>
      <c r="H373">
        <f>soc!N381</f>
        <v>0.32581673517919285</v>
      </c>
      <c r="I373">
        <f t="shared" si="10"/>
        <v>1231</v>
      </c>
      <c r="J373">
        <f t="shared" si="11"/>
        <v>878</v>
      </c>
    </row>
    <row r="374" spans="7:10" x14ac:dyDescent="0.3">
      <c r="G374">
        <f>both!N382</f>
        <v>0.54577913430395009</v>
      </c>
      <c r="H374">
        <f>soc!N382</f>
        <v>1.0030025245643472E-2</v>
      </c>
      <c r="I374">
        <f t="shared" si="10"/>
        <v>1168</v>
      </c>
      <c r="J374">
        <f t="shared" si="11"/>
        <v>425</v>
      </c>
    </row>
    <row r="375" spans="7:10" x14ac:dyDescent="0.3">
      <c r="G375">
        <f>both!N383</f>
        <v>0.80273365476082248</v>
      </c>
      <c r="H375">
        <f>soc!N383</f>
        <v>0.55771509159555466</v>
      </c>
      <c r="I375">
        <f t="shared" si="10"/>
        <v>1610</v>
      </c>
      <c r="J375">
        <f t="shared" si="11"/>
        <v>1185</v>
      </c>
    </row>
    <row r="376" spans="7:10" x14ac:dyDescent="0.3">
      <c r="G376">
        <f>both!N384</f>
        <v>0.72061881084988932</v>
      </c>
      <c r="H376">
        <f>soc!N384</f>
        <v>1.5644879000771298E-3</v>
      </c>
      <c r="I376">
        <f t="shared" si="10"/>
        <v>1454</v>
      </c>
      <c r="J376">
        <f t="shared" si="11"/>
        <v>220</v>
      </c>
    </row>
    <row r="377" spans="7:10" x14ac:dyDescent="0.3">
      <c r="G377">
        <f>both!N385</f>
        <v>0.80641859968869278</v>
      </c>
      <c r="H377">
        <f>soc!N385</f>
        <v>0.30275126255106427</v>
      </c>
      <c r="I377">
        <f t="shared" si="10"/>
        <v>1619</v>
      </c>
      <c r="J377">
        <f t="shared" si="11"/>
        <v>852</v>
      </c>
    </row>
    <row r="378" spans="7:10" x14ac:dyDescent="0.3">
      <c r="G378">
        <f>both!N386</f>
        <v>0.92094132225798786</v>
      </c>
      <c r="H378">
        <f>soc!N386</f>
        <v>0.51431511198092261</v>
      </c>
      <c r="I378">
        <f t="shared" si="10"/>
        <v>1867</v>
      </c>
      <c r="J378">
        <f t="shared" si="11"/>
        <v>1120</v>
      </c>
    </row>
    <row r="379" spans="7:10" x14ac:dyDescent="0.3">
      <c r="G379">
        <f>both!N387</f>
        <v>0.45164737722358722</v>
      </c>
      <c r="H379">
        <f>soc!N387</f>
        <v>0.14707647402740964</v>
      </c>
      <c r="I379">
        <f t="shared" si="10"/>
        <v>1031</v>
      </c>
      <c r="J379">
        <f t="shared" si="11"/>
        <v>728</v>
      </c>
    </row>
    <row r="380" spans="7:10" x14ac:dyDescent="0.3">
      <c r="G380">
        <f>both!N388</f>
        <v>0.81627713802511426</v>
      </c>
      <c r="H380">
        <f>soc!N388</f>
        <v>1.0488849045102071E-2</v>
      </c>
      <c r="I380">
        <f t="shared" si="10"/>
        <v>1634</v>
      </c>
      <c r="J380">
        <f t="shared" si="11"/>
        <v>432</v>
      </c>
    </row>
    <row r="381" spans="7:10" x14ac:dyDescent="0.3">
      <c r="G381">
        <f>both!N389</f>
        <v>0.76166576835894451</v>
      </c>
      <c r="H381">
        <f>soc!N389</f>
        <v>3.9378432402781679E-5</v>
      </c>
      <c r="I381">
        <f t="shared" si="10"/>
        <v>1539</v>
      </c>
      <c r="J381">
        <f t="shared" si="11"/>
        <v>27</v>
      </c>
    </row>
    <row r="382" spans="7:10" x14ac:dyDescent="0.3">
      <c r="G382">
        <f>both!N390</f>
        <v>0.96548735608145098</v>
      </c>
      <c r="H382">
        <f>soc!N390</f>
        <v>0.45973955389550336</v>
      </c>
      <c r="I382">
        <f t="shared" si="10"/>
        <v>1945</v>
      </c>
      <c r="J382">
        <f t="shared" si="11"/>
        <v>1046</v>
      </c>
    </row>
    <row r="383" spans="7:10" x14ac:dyDescent="0.3">
      <c r="G383">
        <f>both!N391</f>
        <v>0.586221397910904</v>
      </c>
      <c r="H383">
        <f>soc!N391</f>
        <v>3.9151494631680127E-2</v>
      </c>
      <c r="I383">
        <f t="shared" si="10"/>
        <v>1229</v>
      </c>
      <c r="J383">
        <f t="shared" si="11"/>
        <v>580</v>
      </c>
    </row>
    <row r="384" spans="7:10" x14ac:dyDescent="0.3">
      <c r="G384">
        <f>both!N392</f>
        <v>0.83464202521248854</v>
      </c>
      <c r="H384">
        <f>soc!N392</f>
        <v>4.1174521571548786E-2</v>
      </c>
      <c r="I384">
        <f t="shared" si="10"/>
        <v>1680</v>
      </c>
      <c r="J384">
        <f t="shared" si="11"/>
        <v>588</v>
      </c>
    </row>
    <row r="385" spans="7:10" x14ac:dyDescent="0.3">
      <c r="G385">
        <f>both!N393</f>
        <v>0.75282436735910618</v>
      </c>
      <c r="H385">
        <f>soc!N393</f>
        <v>3.1954064347786322E-5</v>
      </c>
      <c r="I385">
        <f t="shared" si="10"/>
        <v>1517</v>
      </c>
      <c r="J385">
        <f t="shared" si="11"/>
        <v>23</v>
      </c>
    </row>
    <row r="386" spans="7:10" x14ac:dyDescent="0.3">
      <c r="G386">
        <f>both!N394</f>
        <v>0.70438742643273267</v>
      </c>
      <c r="H386">
        <f>soc!N394</f>
        <v>0.14650842595377281</v>
      </c>
      <c r="I386">
        <f t="shared" si="10"/>
        <v>1424</v>
      </c>
      <c r="J386">
        <f t="shared" si="11"/>
        <v>727</v>
      </c>
    </row>
    <row r="387" spans="7:10" x14ac:dyDescent="0.3">
      <c r="G387">
        <f>both!N395</f>
        <v>0.35289165480390655</v>
      </c>
      <c r="H387">
        <f>soc!N395</f>
        <v>0.80345439115602457</v>
      </c>
      <c r="I387">
        <f t="shared" si="10"/>
        <v>915</v>
      </c>
      <c r="J387">
        <f t="shared" si="11"/>
        <v>1612</v>
      </c>
    </row>
    <row r="388" spans="7:10" x14ac:dyDescent="0.3">
      <c r="G388">
        <f>both!N396</f>
        <v>0.43517341042520852</v>
      </c>
      <c r="H388">
        <f>soc!N396</f>
        <v>0.17832841181065553</v>
      </c>
      <c r="I388">
        <f t="shared" si="10"/>
        <v>1019</v>
      </c>
      <c r="J388">
        <f t="shared" si="11"/>
        <v>750</v>
      </c>
    </row>
    <row r="389" spans="7:10" x14ac:dyDescent="0.3">
      <c r="G389">
        <f>both!N397</f>
        <v>0.72518712689004128</v>
      </c>
      <c r="H389">
        <f>soc!N397</f>
        <v>0.11029304219598403</v>
      </c>
      <c r="I389">
        <f t="shared" ref="I389:I452" si="12">RANK(G389,$G$4:$H$1004,1) + (COUNTIF($G$4:$H$1004,G389)-1)/2</f>
        <v>1463</v>
      </c>
      <c r="J389">
        <f t="shared" ref="J389:J452" si="13">RANK(H389,$G$4:$H$1004,1) + (COUNTIF($G$4:$H$1004,H389)-1)/2</f>
        <v>695</v>
      </c>
    </row>
    <row r="390" spans="7:10" x14ac:dyDescent="0.3">
      <c r="G390">
        <f>both!N398</f>
        <v>0.86039464102615382</v>
      </c>
      <c r="H390">
        <f>soc!N398</f>
        <v>4.5113473382852987E-2</v>
      </c>
      <c r="I390">
        <f t="shared" si="12"/>
        <v>1736</v>
      </c>
      <c r="J390">
        <f t="shared" si="13"/>
        <v>599</v>
      </c>
    </row>
    <row r="391" spans="7:10" x14ac:dyDescent="0.3">
      <c r="G391">
        <f>both!N399</f>
        <v>0.87403192501123894</v>
      </c>
      <c r="H391">
        <f>soc!N399</f>
        <v>3.3286888351675749E-5</v>
      </c>
      <c r="I391">
        <f t="shared" si="12"/>
        <v>1776</v>
      </c>
      <c r="J391">
        <f t="shared" si="13"/>
        <v>24</v>
      </c>
    </row>
    <row r="392" spans="7:10" x14ac:dyDescent="0.3">
      <c r="G392">
        <f>both!N400</f>
        <v>0.948307439729969</v>
      </c>
      <c r="H392">
        <f>soc!N400</f>
        <v>0.12388797478039178</v>
      </c>
      <c r="I392">
        <f t="shared" si="12"/>
        <v>1920</v>
      </c>
      <c r="J392">
        <f t="shared" si="13"/>
        <v>705</v>
      </c>
    </row>
    <row r="393" spans="7:10" x14ac:dyDescent="0.3">
      <c r="G393">
        <f>both!N401</f>
        <v>0.45392610717439047</v>
      </c>
      <c r="H393">
        <f>soc!N401</f>
        <v>4.3188667326821639E-2</v>
      </c>
      <c r="I393">
        <f t="shared" si="12"/>
        <v>1037</v>
      </c>
      <c r="J393">
        <f t="shared" si="13"/>
        <v>591</v>
      </c>
    </row>
    <row r="394" spans="7:10" x14ac:dyDescent="0.3">
      <c r="G394">
        <f>both!N402</f>
        <v>0.97773831883344542</v>
      </c>
      <c r="H394">
        <f>soc!N402</f>
        <v>8.0529705653917066E-2</v>
      </c>
      <c r="I394">
        <f t="shared" si="12"/>
        <v>1963</v>
      </c>
      <c r="J394">
        <f t="shared" si="13"/>
        <v>662</v>
      </c>
    </row>
    <row r="395" spans="7:10" x14ac:dyDescent="0.3">
      <c r="G395">
        <f>both!N403</f>
        <v>0.72828694451953568</v>
      </c>
      <c r="H395">
        <f>soc!N403</f>
        <v>8.5353882518857588E-2</v>
      </c>
      <c r="I395">
        <f t="shared" si="12"/>
        <v>1467</v>
      </c>
      <c r="J395">
        <f t="shared" si="13"/>
        <v>668</v>
      </c>
    </row>
    <row r="396" spans="7:10" x14ac:dyDescent="0.3">
      <c r="G396">
        <f>both!N404</f>
        <v>0.37293584506093358</v>
      </c>
      <c r="H396">
        <f>soc!N404</f>
        <v>1.4056011173495522E-2</v>
      </c>
      <c r="I396">
        <f t="shared" si="12"/>
        <v>939</v>
      </c>
      <c r="J396">
        <f t="shared" si="13"/>
        <v>463</v>
      </c>
    </row>
    <row r="397" spans="7:10" x14ac:dyDescent="0.3">
      <c r="G397">
        <f>both!N405</f>
        <v>0.86633000821036787</v>
      </c>
      <c r="H397">
        <f>soc!N405</f>
        <v>3.34359992386591E-3</v>
      </c>
      <c r="I397">
        <f t="shared" si="12"/>
        <v>1761</v>
      </c>
      <c r="J397">
        <f t="shared" si="13"/>
        <v>294</v>
      </c>
    </row>
    <row r="398" spans="7:10" x14ac:dyDescent="0.3">
      <c r="G398">
        <f>both!N406</f>
        <v>0.66509994587875498</v>
      </c>
      <c r="H398">
        <f>soc!N406</f>
        <v>2.0938530570544213E-2</v>
      </c>
      <c r="I398">
        <f t="shared" si="12"/>
        <v>1357</v>
      </c>
      <c r="J398">
        <f t="shared" si="13"/>
        <v>511</v>
      </c>
    </row>
    <row r="399" spans="7:10" x14ac:dyDescent="0.3">
      <c r="G399">
        <f>both!N407</f>
        <v>0.71444200854253059</v>
      </c>
      <c r="H399">
        <f>soc!N407</f>
        <v>2.7726597797855026E-4</v>
      </c>
      <c r="I399">
        <f t="shared" si="12"/>
        <v>1441</v>
      </c>
      <c r="J399">
        <f t="shared" si="13"/>
        <v>95</v>
      </c>
    </row>
    <row r="400" spans="7:10" x14ac:dyDescent="0.3">
      <c r="G400">
        <f>both!N408</f>
        <v>0.76378186945343729</v>
      </c>
      <c r="H400">
        <f>soc!N408</f>
        <v>4.4456570929928268E-4</v>
      </c>
      <c r="I400">
        <f t="shared" si="12"/>
        <v>1547</v>
      </c>
      <c r="J400">
        <f t="shared" si="13"/>
        <v>119</v>
      </c>
    </row>
    <row r="401" spans="7:10" x14ac:dyDescent="0.3">
      <c r="G401">
        <f>both!N409</f>
        <v>0.6315948283165812</v>
      </c>
      <c r="H401">
        <f>soc!N409</f>
        <v>5.0189614511632133E-3</v>
      </c>
      <c r="I401">
        <f t="shared" si="12"/>
        <v>1296</v>
      </c>
      <c r="J401">
        <f t="shared" si="13"/>
        <v>351</v>
      </c>
    </row>
    <row r="402" spans="7:10" x14ac:dyDescent="0.3">
      <c r="G402">
        <f>both!N410</f>
        <v>0.76082104141632678</v>
      </c>
      <c r="H402">
        <f>soc!N410</f>
        <v>7.6329068180945692E-5</v>
      </c>
      <c r="I402">
        <f t="shared" si="12"/>
        <v>1536</v>
      </c>
      <c r="J402">
        <f t="shared" si="13"/>
        <v>43</v>
      </c>
    </row>
    <row r="403" spans="7:10" x14ac:dyDescent="0.3">
      <c r="G403">
        <f>both!N411</f>
        <v>0.7012017925051961</v>
      </c>
      <c r="H403">
        <f>soc!N411</f>
        <v>0.93952291249670727</v>
      </c>
      <c r="I403">
        <f t="shared" si="12"/>
        <v>1416</v>
      </c>
      <c r="J403">
        <f t="shared" si="13"/>
        <v>1901</v>
      </c>
    </row>
    <row r="404" spans="7:10" x14ac:dyDescent="0.3">
      <c r="G404">
        <f>both!N412</f>
        <v>0.73799959822902417</v>
      </c>
      <c r="H404">
        <f>soc!N412</f>
        <v>0.76556872105495721</v>
      </c>
      <c r="I404">
        <f t="shared" si="12"/>
        <v>1491</v>
      </c>
      <c r="J404">
        <f t="shared" si="13"/>
        <v>1549</v>
      </c>
    </row>
    <row r="405" spans="7:10" x14ac:dyDescent="0.3">
      <c r="G405">
        <f>both!N413</f>
        <v>0.45950438525729614</v>
      </c>
      <c r="H405">
        <f>soc!N413</f>
        <v>0.29450976230158471</v>
      </c>
      <c r="I405">
        <f t="shared" si="12"/>
        <v>1045</v>
      </c>
      <c r="J405">
        <f t="shared" si="13"/>
        <v>842</v>
      </c>
    </row>
    <row r="406" spans="7:10" x14ac:dyDescent="0.3">
      <c r="G406">
        <f>both!N414</f>
        <v>0.71428317714773559</v>
      </c>
      <c r="H406">
        <f>soc!N414</f>
        <v>0.40692342574295021</v>
      </c>
      <c r="I406">
        <f t="shared" si="12"/>
        <v>1440</v>
      </c>
      <c r="J406">
        <f t="shared" si="13"/>
        <v>985</v>
      </c>
    </row>
    <row r="407" spans="7:10" x14ac:dyDescent="0.3">
      <c r="G407">
        <f>both!N415</f>
        <v>0.41195400354887235</v>
      </c>
      <c r="H407">
        <f>soc!N415</f>
        <v>3.1056111893013019E-3</v>
      </c>
      <c r="I407">
        <f t="shared" si="12"/>
        <v>992</v>
      </c>
      <c r="J407">
        <f t="shared" si="13"/>
        <v>289</v>
      </c>
    </row>
    <row r="408" spans="7:10" x14ac:dyDescent="0.3">
      <c r="G408">
        <f>both!N416</f>
        <v>0.92877495364937568</v>
      </c>
      <c r="H408">
        <f>soc!N416</f>
        <v>0.45152118374770839</v>
      </c>
      <c r="I408">
        <f t="shared" si="12"/>
        <v>1885</v>
      </c>
      <c r="J408">
        <f t="shared" si="13"/>
        <v>1030</v>
      </c>
    </row>
    <row r="409" spans="7:10" x14ac:dyDescent="0.3">
      <c r="G409">
        <f>both!N417</f>
        <v>0.42045060332998779</v>
      </c>
      <c r="H409">
        <f>soc!N417</f>
        <v>7.929664160151517E-5</v>
      </c>
      <c r="I409">
        <f t="shared" si="12"/>
        <v>1000</v>
      </c>
      <c r="J409">
        <f t="shared" si="13"/>
        <v>46</v>
      </c>
    </row>
    <row r="410" spans="7:10" x14ac:dyDescent="0.3">
      <c r="G410">
        <f>both!N418</f>
        <v>0.60128087492507343</v>
      </c>
      <c r="H410">
        <f>soc!N418</f>
        <v>4.8197657278554237E-3</v>
      </c>
      <c r="I410">
        <f t="shared" si="12"/>
        <v>1262</v>
      </c>
      <c r="J410">
        <f t="shared" si="13"/>
        <v>339</v>
      </c>
    </row>
    <row r="411" spans="7:10" x14ac:dyDescent="0.3">
      <c r="G411">
        <f>both!N419</f>
        <v>0.92388902179897603</v>
      </c>
      <c r="H411">
        <f>soc!N419</f>
        <v>0.11601462745915356</v>
      </c>
      <c r="I411">
        <f t="shared" si="12"/>
        <v>1873</v>
      </c>
      <c r="J411">
        <f t="shared" si="13"/>
        <v>699</v>
      </c>
    </row>
    <row r="412" spans="7:10" x14ac:dyDescent="0.3">
      <c r="G412">
        <f>both!N420</f>
        <v>0.45240830989820313</v>
      </c>
      <c r="H412">
        <f>soc!N420</f>
        <v>1.8659742780970554E-4</v>
      </c>
      <c r="I412">
        <f t="shared" si="12"/>
        <v>1034</v>
      </c>
      <c r="J412">
        <f t="shared" si="13"/>
        <v>77</v>
      </c>
    </row>
    <row r="413" spans="7:10" x14ac:dyDescent="0.3">
      <c r="G413">
        <f>both!N421</f>
        <v>0.69923255114603056</v>
      </c>
      <c r="H413">
        <f>soc!N421</f>
        <v>0.45784123840365282</v>
      </c>
      <c r="I413">
        <f t="shared" si="12"/>
        <v>1407</v>
      </c>
      <c r="J413">
        <f t="shared" si="13"/>
        <v>1041</v>
      </c>
    </row>
    <row r="414" spans="7:10" x14ac:dyDescent="0.3">
      <c r="G414">
        <f>both!N422</f>
        <v>0.76817276571197834</v>
      </c>
      <c r="H414">
        <f>soc!N422</f>
        <v>4.6145131117239918E-3</v>
      </c>
      <c r="I414">
        <f t="shared" si="12"/>
        <v>1553</v>
      </c>
      <c r="J414">
        <f t="shared" si="13"/>
        <v>331</v>
      </c>
    </row>
    <row r="415" spans="7:10" x14ac:dyDescent="0.3">
      <c r="G415">
        <f>both!N423</f>
        <v>0.82846946366224228</v>
      </c>
      <c r="H415">
        <f>soc!N423</f>
        <v>2.2645719855711341E-4</v>
      </c>
      <c r="I415">
        <f t="shared" si="12"/>
        <v>1660</v>
      </c>
      <c r="J415">
        <f t="shared" si="13"/>
        <v>87</v>
      </c>
    </row>
    <row r="416" spans="7:10" x14ac:dyDescent="0.3">
      <c r="G416">
        <f>both!N424</f>
        <v>0.35917465195743947</v>
      </c>
      <c r="H416">
        <f>soc!N424</f>
        <v>0.95168900860008587</v>
      </c>
      <c r="I416">
        <f t="shared" si="12"/>
        <v>921</v>
      </c>
      <c r="J416">
        <f t="shared" si="13"/>
        <v>1928</v>
      </c>
    </row>
    <row r="417" spans="7:10" x14ac:dyDescent="0.3">
      <c r="G417">
        <f>both!N425</f>
        <v>0.94840914621360495</v>
      </c>
      <c r="H417">
        <f>soc!N425</f>
        <v>5.3408111143593783E-6</v>
      </c>
      <c r="I417">
        <f t="shared" si="12"/>
        <v>1921</v>
      </c>
      <c r="J417">
        <f t="shared" si="13"/>
        <v>4</v>
      </c>
    </row>
    <row r="418" spans="7:10" x14ac:dyDescent="0.3">
      <c r="G418">
        <f>both!N426</f>
        <v>0.48455303833616459</v>
      </c>
      <c r="H418">
        <f>soc!N426</f>
        <v>1.556719448528042E-4</v>
      </c>
      <c r="I418">
        <f t="shared" si="12"/>
        <v>1076</v>
      </c>
      <c r="J418">
        <f t="shared" si="13"/>
        <v>66</v>
      </c>
    </row>
    <row r="419" spans="7:10" x14ac:dyDescent="0.3">
      <c r="G419">
        <f>both!N427</f>
        <v>0.92632044264318092</v>
      </c>
      <c r="H419">
        <f>soc!N427</f>
        <v>4.0280720353560789E-3</v>
      </c>
      <c r="I419">
        <f t="shared" si="12"/>
        <v>1879</v>
      </c>
      <c r="J419">
        <f t="shared" si="13"/>
        <v>316</v>
      </c>
    </row>
    <row r="420" spans="7:10" x14ac:dyDescent="0.3">
      <c r="G420">
        <f>both!N428</f>
        <v>0.49134514829246911</v>
      </c>
      <c r="H420">
        <f>soc!N428</f>
        <v>2.3719825384732746E-2</v>
      </c>
      <c r="I420">
        <f t="shared" si="12"/>
        <v>1084</v>
      </c>
      <c r="J420">
        <f t="shared" si="13"/>
        <v>529</v>
      </c>
    </row>
    <row r="421" spans="7:10" x14ac:dyDescent="0.3">
      <c r="G421">
        <f>both!N429</f>
        <v>0.68867692704422501</v>
      </c>
      <c r="H421">
        <f>soc!N429</f>
        <v>9.934614232398381E-2</v>
      </c>
      <c r="I421">
        <f t="shared" si="12"/>
        <v>1391</v>
      </c>
      <c r="J421">
        <f t="shared" si="13"/>
        <v>682</v>
      </c>
    </row>
    <row r="422" spans="7:10" x14ac:dyDescent="0.3">
      <c r="G422">
        <f>both!N430</f>
        <v>0.59683220921150781</v>
      </c>
      <c r="H422">
        <f>soc!N430</f>
        <v>2.6656335472951494E-2</v>
      </c>
      <c r="I422">
        <f t="shared" si="12"/>
        <v>1253</v>
      </c>
      <c r="J422">
        <f t="shared" si="13"/>
        <v>541</v>
      </c>
    </row>
    <row r="423" spans="7:10" x14ac:dyDescent="0.3">
      <c r="G423">
        <f>both!N431</f>
        <v>0.72166107160281401</v>
      </c>
      <c r="H423">
        <f>soc!N431</f>
        <v>0.12746462970759007</v>
      </c>
      <c r="I423">
        <f t="shared" si="12"/>
        <v>1460</v>
      </c>
      <c r="J423">
        <f t="shared" si="13"/>
        <v>714</v>
      </c>
    </row>
    <row r="424" spans="7:10" x14ac:dyDescent="0.3">
      <c r="G424">
        <f>both!N432</f>
        <v>0.97189488393084444</v>
      </c>
      <c r="H424">
        <f>soc!N432</f>
        <v>0.18839907314969642</v>
      </c>
      <c r="I424">
        <f t="shared" si="12"/>
        <v>1954</v>
      </c>
      <c r="J424">
        <f t="shared" si="13"/>
        <v>761</v>
      </c>
    </row>
    <row r="425" spans="7:10" x14ac:dyDescent="0.3">
      <c r="G425">
        <f>both!N433</f>
        <v>0.33224771804136211</v>
      </c>
      <c r="H425">
        <f>soc!N433</f>
        <v>5.8950468272414507E-2</v>
      </c>
      <c r="I425">
        <f t="shared" si="12"/>
        <v>886</v>
      </c>
      <c r="J425">
        <f t="shared" si="13"/>
        <v>632</v>
      </c>
    </row>
    <row r="426" spans="7:10" x14ac:dyDescent="0.3">
      <c r="G426">
        <f>both!N434</f>
        <v>0.7560210863124156</v>
      </c>
      <c r="H426">
        <f>soc!N434</f>
        <v>1.8664066925330135E-2</v>
      </c>
      <c r="I426">
        <f t="shared" si="12"/>
        <v>1527</v>
      </c>
      <c r="J426">
        <f t="shared" si="13"/>
        <v>500</v>
      </c>
    </row>
    <row r="427" spans="7:10" x14ac:dyDescent="0.3">
      <c r="G427">
        <f>both!N435</f>
        <v>0.54071109272797868</v>
      </c>
      <c r="H427">
        <f>soc!N435</f>
        <v>1.4831622956986543E-4</v>
      </c>
      <c r="I427">
        <f t="shared" si="12"/>
        <v>1160</v>
      </c>
      <c r="J427">
        <f t="shared" si="13"/>
        <v>62</v>
      </c>
    </row>
    <row r="428" spans="7:10" x14ac:dyDescent="0.3">
      <c r="G428">
        <f>both!N436</f>
        <v>0.89517301327516119</v>
      </c>
      <c r="H428">
        <f>soc!N436</f>
        <v>0.179238896151348</v>
      </c>
      <c r="I428">
        <f t="shared" si="12"/>
        <v>1816</v>
      </c>
      <c r="J428">
        <f t="shared" si="13"/>
        <v>751</v>
      </c>
    </row>
    <row r="429" spans="7:10" x14ac:dyDescent="0.3">
      <c r="G429">
        <f>both!N437</f>
        <v>0.55919037597458776</v>
      </c>
      <c r="H429">
        <f>soc!N437</f>
        <v>0.83957521397857648</v>
      </c>
      <c r="I429">
        <f t="shared" si="12"/>
        <v>1189</v>
      </c>
      <c r="J429">
        <f t="shared" si="13"/>
        <v>1689</v>
      </c>
    </row>
    <row r="430" spans="7:10" x14ac:dyDescent="0.3">
      <c r="G430">
        <f>both!N438</f>
        <v>0.8415583813298364</v>
      </c>
      <c r="H430">
        <f>soc!N438</f>
        <v>0.11219644478146393</v>
      </c>
      <c r="I430">
        <f t="shared" si="12"/>
        <v>1696</v>
      </c>
      <c r="J430">
        <f t="shared" si="13"/>
        <v>696</v>
      </c>
    </row>
    <row r="431" spans="7:10" x14ac:dyDescent="0.3">
      <c r="G431">
        <f>both!N439</f>
        <v>0.7345125958417178</v>
      </c>
      <c r="H431">
        <f>soc!N439</f>
        <v>4.6665782808185476E-4</v>
      </c>
      <c r="I431">
        <f t="shared" si="12"/>
        <v>1479</v>
      </c>
      <c r="J431">
        <f t="shared" si="13"/>
        <v>123</v>
      </c>
    </row>
    <row r="432" spans="7:10" x14ac:dyDescent="0.3">
      <c r="G432">
        <f>both!N440</f>
        <v>0.85839000894577222</v>
      </c>
      <c r="H432">
        <f>soc!N440</f>
        <v>0.88525890879439739</v>
      </c>
      <c r="I432">
        <f t="shared" si="12"/>
        <v>1729</v>
      </c>
      <c r="J432">
        <f t="shared" si="13"/>
        <v>1799</v>
      </c>
    </row>
    <row r="433" spans="7:10" x14ac:dyDescent="0.3">
      <c r="G433">
        <f>both!N441</f>
        <v>0.86684931513494889</v>
      </c>
      <c r="H433">
        <f>soc!N441</f>
        <v>6.0575924970467975E-3</v>
      </c>
      <c r="I433">
        <f t="shared" si="12"/>
        <v>1762</v>
      </c>
      <c r="J433">
        <f t="shared" si="13"/>
        <v>368</v>
      </c>
    </row>
    <row r="434" spans="7:10" x14ac:dyDescent="0.3">
      <c r="G434">
        <f>both!N442</f>
        <v>0.88141167984151114</v>
      </c>
      <c r="H434">
        <f>soc!N442</f>
        <v>1.4413371221023441E-3</v>
      </c>
      <c r="I434">
        <f t="shared" si="12"/>
        <v>1789</v>
      </c>
      <c r="J434">
        <f t="shared" si="13"/>
        <v>208</v>
      </c>
    </row>
    <row r="435" spans="7:10" x14ac:dyDescent="0.3">
      <c r="G435">
        <f>both!N443</f>
        <v>0.25911509019971818</v>
      </c>
      <c r="H435">
        <f>soc!N443</f>
        <v>0.56022822904736436</v>
      </c>
      <c r="I435">
        <f t="shared" si="12"/>
        <v>815</v>
      </c>
      <c r="J435">
        <f t="shared" si="13"/>
        <v>1191</v>
      </c>
    </row>
    <row r="436" spans="7:10" x14ac:dyDescent="0.3">
      <c r="G436">
        <f>both!N444</f>
        <v>0.73898382854096212</v>
      </c>
      <c r="H436">
        <f>soc!N444</f>
        <v>7.9325919162177418E-5</v>
      </c>
      <c r="I436">
        <f t="shared" si="12"/>
        <v>1493</v>
      </c>
      <c r="J436">
        <f t="shared" si="13"/>
        <v>47</v>
      </c>
    </row>
    <row r="437" spans="7:10" x14ac:dyDescent="0.3">
      <c r="G437">
        <f>both!N445</f>
        <v>0.61389116982144176</v>
      </c>
      <c r="H437">
        <f>soc!N445</f>
        <v>0.19148888410803919</v>
      </c>
      <c r="I437">
        <f t="shared" si="12"/>
        <v>1277</v>
      </c>
      <c r="J437">
        <f t="shared" si="13"/>
        <v>763</v>
      </c>
    </row>
    <row r="438" spans="7:10" x14ac:dyDescent="0.3">
      <c r="G438">
        <f>both!N446</f>
        <v>0.65031193674113708</v>
      </c>
      <c r="H438">
        <f>soc!N446</f>
        <v>8.6462623359524534E-3</v>
      </c>
      <c r="I438">
        <f t="shared" si="12"/>
        <v>1326</v>
      </c>
      <c r="J438">
        <f t="shared" si="13"/>
        <v>410</v>
      </c>
    </row>
    <row r="439" spans="7:10" x14ac:dyDescent="0.3">
      <c r="G439">
        <f>both!N447</f>
        <v>0.97478860044134341</v>
      </c>
      <c r="H439">
        <f>soc!N447</f>
        <v>7.790807179797775E-3</v>
      </c>
      <c r="I439">
        <f t="shared" si="12"/>
        <v>1958</v>
      </c>
      <c r="J439">
        <f t="shared" si="13"/>
        <v>392</v>
      </c>
    </row>
    <row r="440" spans="7:10" x14ac:dyDescent="0.3">
      <c r="G440">
        <f>both!N448</f>
        <v>0.40283614372273602</v>
      </c>
      <c r="H440">
        <f>soc!N448</f>
        <v>4.4493088409120599E-2</v>
      </c>
      <c r="I440">
        <f t="shared" si="12"/>
        <v>979</v>
      </c>
      <c r="J440">
        <f t="shared" si="13"/>
        <v>597</v>
      </c>
    </row>
    <row r="441" spans="7:10" x14ac:dyDescent="0.3">
      <c r="G441">
        <f>both!N449</f>
        <v>0.84948709984920323</v>
      </c>
      <c r="H441">
        <f>soc!N449</f>
        <v>2.2165307629505102E-4</v>
      </c>
      <c r="I441">
        <f t="shared" si="12"/>
        <v>1714</v>
      </c>
      <c r="J441">
        <f t="shared" si="13"/>
        <v>85</v>
      </c>
    </row>
    <row r="442" spans="7:10" x14ac:dyDescent="0.3">
      <c r="G442">
        <f>both!N450</f>
        <v>0.38210885969215391</v>
      </c>
      <c r="H442">
        <f>soc!N450</f>
        <v>0.7635570796342307</v>
      </c>
      <c r="I442">
        <f t="shared" si="12"/>
        <v>948</v>
      </c>
      <c r="J442">
        <f t="shared" si="13"/>
        <v>1544</v>
      </c>
    </row>
    <row r="443" spans="7:10" x14ac:dyDescent="0.3">
      <c r="G443">
        <f>both!N451</f>
        <v>0.51578021370527494</v>
      </c>
      <c r="H443">
        <f>soc!N451</f>
        <v>0.25533425870391413</v>
      </c>
      <c r="I443">
        <f t="shared" si="12"/>
        <v>1122</v>
      </c>
      <c r="J443">
        <f t="shared" si="13"/>
        <v>811</v>
      </c>
    </row>
    <row r="444" spans="7:10" x14ac:dyDescent="0.3">
      <c r="G444">
        <f>both!N452</f>
        <v>0.41865252182247503</v>
      </c>
      <c r="H444">
        <f>soc!N452</f>
        <v>1.7735286725005666E-3</v>
      </c>
      <c r="I444">
        <f t="shared" si="12"/>
        <v>996</v>
      </c>
      <c r="J444">
        <f t="shared" si="13"/>
        <v>236</v>
      </c>
    </row>
    <row r="445" spans="7:10" x14ac:dyDescent="0.3">
      <c r="G445">
        <f>both!N453</f>
        <v>0.54069678438910806</v>
      </c>
      <c r="H445">
        <f>soc!N453</f>
        <v>0.22459175891318775</v>
      </c>
      <c r="I445">
        <f t="shared" si="12"/>
        <v>1159</v>
      </c>
      <c r="J445">
        <f t="shared" si="13"/>
        <v>787</v>
      </c>
    </row>
    <row r="446" spans="7:10" x14ac:dyDescent="0.3">
      <c r="G446">
        <f>both!N454</f>
        <v>0.77665833510696447</v>
      </c>
      <c r="H446">
        <f>soc!N454</f>
        <v>3.7667943040548997E-2</v>
      </c>
      <c r="I446">
        <f t="shared" si="12"/>
        <v>1567</v>
      </c>
      <c r="J446">
        <f t="shared" si="13"/>
        <v>577</v>
      </c>
    </row>
    <row r="447" spans="7:10" x14ac:dyDescent="0.3">
      <c r="G447">
        <f>both!N455</f>
        <v>0.86566374312537409</v>
      </c>
      <c r="H447">
        <f>soc!N455</f>
        <v>1.3503878437852127E-3</v>
      </c>
      <c r="I447">
        <f t="shared" si="12"/>
        <v>1758</v>
      </c>
      <c r="J447">
        <f t="shared" si="13"/>
        <v>203</v>
      </c>
    </row>
    <row r="448" spans="7:10" x14ac:dyDescent="0.3">
      <c r="G448">
        <f>both!N456</f>
        <v>0.52689242386277801</v>
      </c>
      <c r="H448">
        <f>soc!N456</f>
        <v>1.3911059703325824E-3</v>
      </c>
      <c r="I448">
        <f t="shared" si="12"/>
        <v>1139</v>
      </c>
      <c r="J448">
        <f t="shared" si="13"/>
        <v>205</v>
      </c>
    </row>
    <row r="449" spans="7:10" x14ac:dyDescent="0.3">
      <c r="G449">
        <f>both!N457</f>
        <v>0.51097477687258896</v>
      </c>
      <c r="H449">
        <f>soc!N457</f>
        <v>0.99899263260668247</v>
      </c>
      <c r="I449">
        <f t="shared" si="12"/>
        <v>1111</v>
      </c>
      <c r="J449">
        <f t="shared" si="13"/>
        <v>1987</v>
      </c>
    </row>
    <row r="450" spans="7:10" x14ac:dyDescent="0.3">
      <c r="G450">
        <f>both!N458</f>
        <v>0.87298177773045904</v>
      </c>
      <c r="H450">
        <f>soc!N458</f>
        <v>0.94965088951098053</v>
      </c>
      <c r="I450">
        <f t="shared" si="12"/>
        <v>1774</v>
      </c>
      <c r="J450">
        <f t="shared" si="13"/>
        <v>1922</v>
      </c>
    </row>
    <row r="451" spans="7:10" x14ac:dyDescent="0.3">
      <c r="G451">
        <f>both!N459</f>
        <v>0.51281872137799978</v>
      </c>
      <c r="H451">
        <f>soc!N459</f>
        <v>0.99490476364381819</v>
      </c>
      <c r="I451">
        <f t="shared" si="12"/>
        <v>1116</v>
      </c>
      <c r="J451">
        <f t="shared" si="13"/>
        <v>1983</v>
      </c>
    </row>
    <row r="452" spans="7:10" x14ac:dyDescent="0.3">
      <c r="G452">
        <f>both!N460</f>
        <v>0.62945571290779589</v>
      </c>
      <c r="H452">
        <f>soc!N460</f>
        <v>0.75484479532793824</v>
      </c>
      <c r="I452">
        <f t="shared" si="12"/>
        <v>1292</v>
      </c>
      <c r="J452">
        <f t="shared" si="13"/>
        <v>1523</v>
      </c>
    </row>
    <row r="453" spans="7:10" x14ac:dyDescent="0.3">
      <c r="G453">
        <f>both!N461</f>
        <v>0.79360569434664607</v>
      </c>
      <c r="H453">
        <f>soc!N461</f>
        <v>1.2283376838638802E-3</v>
      </c>
      <c r="I453">
        <f t="shared" ref="I453:I516" si="14">RANK(G453,$G$4:$H$1004,1) + (COUNTIF($G$4:$H$1004,G453)-1)/2</f>
        <v>1592</v>
      </c>
      <c r="J453">
        <f t="shared" ref="J453:J516" si="15">RANK(H453,$G$4:$H$1004,1) + (COUNTIF($G$4:$H$1004,H453)-1)/2</f>
        <v>192</v>
      </c>
    </row>
    <row r="454" spans="7:10" x14ac:dyDescent="0.3">
      <c r="G454">
        <f>both!N462</f>
        <v>0.7779808667315129</v>
      </c>
      <c r="H454">
        <f>soc!N462</f>
        <v>1.5989866743726353E-4</v>
      </c>
      <c r="I454">
        <f t="shared" si="14"/>
        <v>1570</v>
      </c>
      <c r="J454">
        <f t="shared" si="15"/>
        <v>68</v>
      </c>
    </row>
    <row r="455" spans="7:10" x14ac:dyDescent="0.3">
      <c r="G455">
        <f>both!N463</f>
        <v>0.94193267577984741</v>
      </c>
      <c r="H455">
        <f>soc!N463</f>
        <v>1.8791201996426053E-2</v>
      </c>
      <c r="I455">
        <f t="shared" si="14"/>
        <v>1907</v>
      </c>
      <c r="J455">
        <f t="shared" si="15"/>
        <v>501</v>
      </c>
    </row>
    <row r="456" spans="7:10" x14ac:dyDescent="0.3">
      <c r="G456">
        <f>both!N464</f>
        <v>0.86945111240202089</v>
      </c>
      <c r="H456">
        <f>soc!N464</f>
        <v>1.312337848909799E-3</v>
      </c>
      <c r="I456">
        <f t="shared" si="14"/>
        <v>1768</v>
      </c>
      <c r="J456">
        <f t="shared" si="15"/>
        <v>197</v>
      </c>
    </row>
    <row r="457" spans="7:10" x14ac:dyDescent="0.3">
      <c r="G457">
        <f>both!N465</f>
        <v>0.56063648914619224</v>
      </c>
      <c r="H457">
        <f>soc!N465</f>
        <v>3.5265943122068494E-3</v>
      </c>
      <c r="I457">
        <f t="shared" si="14"/>
        <v>1194</v>
      </c>
      <c r="J457">
        <f t="shared" si="15"/>
        <v>299</v>
      </c>
    </row>
    <row r="458" spans="7:10" x14ac:dyDescent="0.3">
      <c r="G458">
        <f>both!N466</f>
        <v>0.76190538060765289</v>
      </c>
      <c r="H458">
        <f>soc!N466</f>
        <v>4.8555999450724113E-2</v>
      </c>
      <c r="I458">
        <f t="shared" si="14"/>
        <v>1541</v>
      </c>
      <c r="J458">
        <f t="shared" si="15"/>
        <v>610</v>
      </c>
    </row>
    <row r="459" spans="7:10" x14ac:dyDescent="0.3">
      <c r="G459">
        <f>both!N467</f>
        <v>0.58446620683736872</v>
      </c>
      <c r="H459">
        <f>soc!N467</f>
        <v>8.9840052394817767E-5</v>
      </c>
      <c r="I459">
        <f t="shared" si="14"/>
        <v>1227</v>
      </c>
      <c r="J459">
        <f t="shared" si="15"/>
        <v>49</v>
      </c>
    </row>
    <row r="460" spans="7:10" x14ac:dyDescent="0.3">
      <c r="G460">
        <f>both!N468</f>
        <v>0.95858590829352563</v>
      </c>
      <c r="H460">
        <f>soc!N468</f>
        <v>2.3622984122998823E-2</v>
      </c>
      <c r="I460">
        <f t="shared" si="14"/>
        <v>1937</v>
      </c>
      <c r="J460">
        <f t="shared" si="15"/>
        <v>528</v>
      </c>
    </row>
    <row r="461" spans="7:10" x14ac:dyDescent="0.3">
      <c r="G461">
        <f>both!N469</f>
        <v>0.71471446849985143</v>
      </c>
      <c r="H461">
        <f>soc!N469</f>
        <v>8.6751870107523981E-4</v>
      </c>
      <c r="I461">
        <f t="shared" si="14"/>
        <v>1442</v>
      </c>
      <c r="J461">
        <f t="shared" si="15"/>
        <v>165</v>
      </c>
    </row>
    <row r="462" spans="7:10" x14ac:dyDescent="0.3">
      <c r="G462">
        <f>both!N470</f>
        <v>0.73518156029549142</v>
      </c>
      <c r="H462">
        <f>soc!N470</f>
        <v>0.26888409548286057</v>
      </c>
      <c r="I462">
        <f t="shared" si="14"/>
        <v>1482</v>
      </c>
      <c r="J462">
        <f t="shared" si="15"/>
        <v>822</v>
      </c>
    </row>
    <row r="463" spans="7:10" x14ac:dyDescent="0.3">
      <c r="G463">
        <f>both!N471</f>
        <v>0.40364013339088595</v>
      </c>
      <c r="H463">
        <f>soc!N471</f>
        <v>0.38124292505390295</v>
      </c>
      <c r="I463">
        <f t="shared" si="14"/>
        <v>980</v>
      </c>
      <c r="J463">
        <f t="shared" si="15"/>
        <v>947</v>
      </c>
    </row>
    <row r="464" spans="7:10" x14ac:dyDescent="0.3">
      <c r="G464">
        <f>both!N472</f>
        <v>0.47800809227202445</v>
      </c>
      <c r="H464">
        <f>soc!N472</f>
        <v>0.28179304092453916</v>
      </c>
      <c r="I464">
        <f t="shared" si="14"/>
        <v>1065</v>
      </c>
      <c r="J464">
        <f t="shared" si="15"/>
        <v>835</v>
      </c>
    </row>
    <row r="465" spans="7:10" x14ac:dyDescent="0.3">
      <c r="G465">
        <f>both!N473</f>
        <v>0.76025953373772748</v>
      </c>
      <c r="H465">
        <f>soc!N473</f>
        <v>9.2506937410978351E-6</v>
      </c>
      <c r="I465">
        <f t="shared" si="14"/>
        <v>1534</v>
      </c>
      <c r="J465">
        <f t="shared" si="15"/>
        <v>10</v>
      </c>
    </row>
    <row r="466" spans="7:10" x14ac:dyDescent="0.3">
      <c r="G466">
        <f>both!N474</f>
        <v>0.55923607910186335</v>
      </c>
      <c r="H466">
        <f>soc!N474</f>
        <v>6.3708616114863142E-2</v>
      </c>
      <c r="I466">
        <f t="shared" si="14"/>
        <v>1190</v>
      </c>
      <c r="J466">
        <f t="shared" si="15"/>
        <v>638</v>
      </c>
    </row>
    <row r="467" spans="7:10" x14ac:dyDescent="0.3">
      <c r="G467">
        <f>both!N475</f>
        <v>0.49242360666668533</v>
      </c>
      <c r="H467">
        <f>soc!N475</f>
        <v>0.37129379502837534</v>
      </c>
      <c r="I467">
        <f t="shared" si="14"/>
        <v>1088</v>
      </c>
      <c r="J467">
        <f t="shared" si="15"/>
        <v>938</v>
      </c>
    </row>
    <row r="468" spans="7:10" x14ac:dyDescent="0.3">
      <c r="G468">
        <f>both!N476</f>
        <v>0.45147227559412617</v>
      </c>
      <c r="H468">
        <f>soc!N476</f>
        <v>2.1544157489462312E-2</v>
      </c>
      <c r="I468">
        <f t="shared" si="14"/>
        <v>1029</v>
      </c>
      <c r="J468">
        <f t="shared" si="15"/>
        <v>512</v>
      </c>
    </row>
    <row r="469" spans="7:10" x14ac:dyDescent="0.3">
      <c r="G469">
        <f>both!N477</f>
        <v>0.73520235440907267</v>
      </c>
      <c r="H469">
        <f>soc!N477</f>
        <v>5.3133736389941117E-3</v>
      </c>
      <c r="I469">
        <f t="shared" si="14"/>
        <v>1483</v>
      </c>
      <c r="J469">
        <f t="shared" si="15"/>
        <v>357</v>
      </c>
    </row>
    <row r="470" spans="7:10" x14ac:dyDescent="0.3">
      <c r="G470">
        <f>both!N478</f>
        <v>0.97826076509937365</v>
      </c>
      <c r="H470">
        <f>soc!N478</f>
        <v>8.42387001397942E-3</v>
      </c>
      <c r="I470">
        <f t="shared" si="14"/>
        <v>1964</v>
      </c>
      <c r="J470">
        <f t="shared" si="15"/>
        <v>406</v>
      </c>
    </row>
    <row r="471" spans="7:10" x14ac:dyDescent="0.3">
      <c r="G471">
        <f>both!N479</f>
        <v>0.68874871885830657</v>
      </c>
      <c r="H471">
        <f>soc!N479</f>
        <v>3.4039700862719118E-4</v>
      </c>
      <c r="I471">
        <f t="shared" si="14"/>
        <v>1392</v>
      </c>
      <c r="J471">
        <f t="shared" si="15"/>
        <v>106</v>
      </c>
    </row>
    <row r="472" spans="7:10" x14ac:dyDescent="0.3">
      <c r="G472">
        <f>both!N480</f>
        <v>0.62092431122340175</v>
      </c>
      <c r="H472">
        <f>soc!N480</f>
        <v>7.8719986410537013E-3</v>
      </c>
      <c r="I472">
        <f t="shared" si="14"/>
        <v>1286</v>
      </c>
      <c r="J472">
        <f t="shared" si="15"/>
        <v>393</v>
      </c>
    </row>
    <row r="473" spans="7:10" x14ac:dyDescent="0.3">
      <c r="G473">
        <f>both!N481</f>
        <v>0.86817605310620261</v>
      </c>
      <c r="H473">
        <f>soc!N481</f>
        <v>2.6283903359516886E-4</v>
      </c>
      <c r="I473">
        <f t="shared" si="14"/>
        <v>1765</v>
      </c>
      <c r="J473">
        <f t="shared" si="15"/>
        <v>92</v>
      </c>
    </row>
    <row r="474" spans="7:10" x14ac:dyDescent="0.3">
      <c r="G474">
        <f>both!N482</f>
        <v>0.63513059176745179</v>
      </c>
      <c r="H474">
        <f>soc!N482</f>
        <v>1.133415587706821E-2</v>
      </c>
      <c r="I474">
        <f t="shared" si="14"/>
        <v>1308</v>
      </c>
      <c r="J474">
        <f t="shared" si="15"/>
        <v>441</v>
      </c>
    </row>
    <row r="475" spans="7:10" x14ac:dyDescent="0.3">
      <c r="G475">
        <f>both!N483</f>
        <v>0.72391611066814798</v>
      </c>
      <c r="H475">
        <f>soc!N483</f>
        <v>1.989012405586237E-3</v>
      </c>
      <c r="I475">
        <f t="shared" si="14"/>
        <v>1461</v>
      </c>
      <c r="J475">
        <f t="shared" si="15"/>
        <v>249</v>
      </c>
    </row>
    <row r="476" spans="7:10" x14ac:dyDescent="0.3">
      <c r="G476">
        <f>both!N484</f>
        <v>0.91496690365483668</v>
      </c>
      <c r="H476">
        <f>soc!N484</f>
        <v>7.00648248262958E-3</v>
      </c>
      <c r="I476">
        <f t="shared" si="14"/>
        <v>1855</v>
      </c>
      <c r="J476">
        <f t="shared" si="15"/>
        <v>380</v>
      </c>
    </row>
    <row r="477" spans="7:10" x14ac:dyDescent="0.3">
      <c r="G477">
        <f>both!N485</f>
        <v>0.68724263482458103</v>
      </c>
      <c r="H477">
        <f>soc!N485</f>
        <v>0.4940755767271589</v>
      </c>
      <c r="I477">
        <f t="shared" si="14"/>
        <v>1388</v>
      </c>
      <c r="J477">
        <f t="shared" si="15"/>
        <v>1092</v>
      </c>
    </row>
    <row r="478" spans="7:10" x14ac:dyDescent="0.3">
      <c r="G478">
        <f>both!N486</f>
        <v>0.83006409088580746</v>
      </c>
      <c r="H478">
        <f>soc!N486</f>
        <v>2.2182459640938988E-2</v>
      </c>
      <c r="I478">
        <f t="shared" si="14"/>
        <v>1666</v>
      </c>
      <c r="J478">
        <f t="shared" si="15"/>
        <v>520</v>
      </c>
    </row>
    <row r="479" spans="7:10" x14ac:dyDescent="0.3">
      <c r="G479">
        <f>both!N487</f>
        <v>0.90324632983635311</v>
      </c>
      <c r="H479">
        <f>soc!N487</f>
        <v>0.93195399544367841</v>
      </c>
      <c r="I479">
        <f t="shared" si="14"/>
        <v>1834</v>
      </c>
      <c r="J479">
        <f t="shared" si="15"/>
        <v>1888</v>
      </c>
    </row>
    <row r="480" spans="7:10" x14ac:dyDescent="0.3">
      <c r="G480">
        <f>both!N488</f>
        <v>0.56126487831085647</v>
      </c>
      <c r="H480">
        <f>soc!N488</f>
        <v>0.97519055006725175</v>
      </c>
      <c r="I480">
        <f t="shared" si="14"/>
        <v>1196</v>
      </c>
      <c r="J480">
        <f t="shared" si="15"/>
        <v>1960</v>
      </c>
    </row>
    <row r="481" spans="7:10" x14ac:dyDescent="0.3">
      <c r="G481">
        <f>both!N489</f>
        <v>0.98494326698275603</v>
      </c>
      <c r="H481">
        <f>soc!N489</f>
        <v>5.7102766666268437E-5</v>
      </c>
      <c r="I481">
        <f t="shared" si="14"/>
        <v>1973</v>
      </c>
      <c r="J481">
        <f t="shared" si="15"/>
        <v>35</v>
      </c>
    </row>
    <row r="482" spans="7:10" x14ac:dyDescent="0.3">
      <c r="G482">
        <f>both!N490</f>
        <v>0.30107134288667092</v>
      </c>
      <c r="H482">
        <f>soc!N490</f>
        <v>7.6960692203670002E-5</v>
      </c>
      <c r="I482">
        <f t="shared" si="14"/>
        <v>850</v>
      </c>
      <c r="J482">
        <f t="shared" si="15"/>
        <v>44</v>
      </c>
    </row>
    <row r="483" spans="7:10" x14ac:dyDescent="0.3">
      <c r="G483">
        <f>both!N491</f>
        <v>0.40867702394266026</v>
      </c>
      <c r="H483">
        <f>soc!N491</f>
        <v>8.1863097616284245E-3</v>
      </c>
      <c r="I483">
        <f t="shared" si="14"/>
        <v>987</v>
      </c>
      <c r="J483">
        <f t="shared" si="15"/>
        <v>403</v>
      </c>
    </row>
    <row r="484" spans="7:10" x14ac:dyDescent="0.3">
      <c r="G484">
        <f>both!N492</f>
        <v>0.81637072893562435</v>
      </c>
      <c r="H484">
        <f>soc!N492</f>
        <v>6.7053556866014958E-3</v>
      </c>
      <c r="I484">
        <f t="shared" si="14"/>
        <v>1636</v>
      </c>
      <c r="J484">
        <f t="shared" si="15"/>
        <v>377</v>
      </c>
    </row>
    <row r="485" spans="7:10" x14ac:dyDescent="0.3">
      <c r="G485">
        <f>both!N493</f>
        <v>0.86699815727551344</v>
      </c>
      <c r="H485">
        <f>soc!N493</f>
        <v>1.0535133834239624E-2</v>
      </c>
      <c r="I485">
        <f t="shared" si="14"/>
        <v>1763</v>
      </c>
      <c r="J485">
        <f t="shared" si="15"/>
        <v>433</v>
      </c>
    </row>
    <row r="486" spans="7:10" x14ac:dyDescent="0.3">
      <c r="G486">
        <f>both!N494</f>
        <v>0.39124031291881645</v>
      </c>
      <c r="H486">
        <f>soc!N494</f>
        <v>0.11694909770746398</v>
      </c>
      <c r="I486">
        <f t="shared" si="14"/>
        <v>963</v>
      </c>
      <c r="J486">
        <f t="shared" si="15"/>
        <v>700</v>
      </c>
    </row>
    <row r="487" spans="7:10" x14ac:dyDescent="0.3">
      <c r="G487">
        <f>both!N495</f>
        <v>0.63071565960638742</v>
      </c>
      <c r="H487">
        <f>soc!N495</f>
        <v>7.6228541064006184E-3</v>
      </c>
      <c r="I487">
        <f t="shared" si="14"/>
        <v>1294</v>
      </c>
      <c r="J487">
        <f t="shared" si="15"/>
        <v>386</v>
      </c>
    </row>
    <row r="488" spans="7:10" x14ac:dyDescent="0.3">
      <c r="G488">
        <f>both!N496</f>
        <v>0.68588827463319324</v>
      </c>
      <c r="H488">
        <f>soc!N496</f>
        <v>0.33611161140675028</v>
      </c>
      <c r="I488">
        <f t="shared" si="14"/>
        <v>1386</v>
      </c>
      <c r="J488">
        <f t="shared" si="15"/>
        <v>890</v>
      </c>
    </row>
    <row r="489" spans="7:10" x14ac:dyDescent="0.3">
      <c r="G489">
        <f>both!N497</f>
        <v>5.4166078433882228E-2</v>
      </c>
      <c r="H489">
        <f>soc!N497</f>
        <v>1.1046072688373522E-3</v>
      </c>
      <c r="I489">
        <f t="shared" si="14"/>
        <v>621</v>
      </c>
      <c r="J489">
        <f t="shared" si="15"/>
        <v>182</v>
      </c>
    </row>
    <row r="490" spans="7:10" x14ac:dyDescent="0.3">
      <c r="G490">
        <f>both!N498</f>
        <v>0.88507446434721881</v>
      </c>
      <c r="H490">
        <f>soc!N498</f>
        <v>8.123385450763557E-3</v>
      </c>
      <c r="I490">
        <f t="shared" si="14"/>
        <v>1798</v>
      </c>
      <c r="J490">
        <f t="shared" si="15"/>
        <v>400</v>
      </c>
    </row>
    <row r="491" spans="7:10" x14ac:dyDescent="0.3">
      <c r="G491">
        <f>both!N499</f>
        <v>0.48229298839456514</v>
      </c>
      <c r="H491">
        <f>soc!N499</f>
        <v>5.1388835314431572E-2</v>
      </c>
      <c r="I491">
        <f t="shared" si="14"/>
        <v>1070</v>
      </c>
      <c r="J491">
        <f t="shared" si="15"/>
        <v>616</v>
      </c>
    </row>
    <row r="492" spans="7:10" x14ac:dyDescent="0.3">
      <c r="G492">
        <f>both!N500</f>
        <v>0.33980066843591517</v>
      </c>
      <c r="H492">
        <f>soc!N500</f>
        <v>0.99545281287096465</v>
      </c>
      <c r="I492">
        <f t="shared" si="14"/>
        <v>902</v>
      </c>
      <c r="J492">
        <f t="shared" si="15"/>
        <v>1985</v>
      </c>
    </row>
    <row r="493" spans="7:10" x14ac:dyDescent="0.3">
      <c r="G493">
        <f>both!N501</f>
        <v>0.48206030386241083</v>
      </c>
      <c r="H493">
        <f>soc!N501</f>
        <v>0.70959165501739085</v>
      </c>
      <c r="I493">
        <f t="shared" si="14"/>
        <v>1069</v>
      </c>
      <c r="J493">
        <f t="shared" si="15"/>
        <v>1429</v>
      </c>
    </row>
    <row r="494" spans="7:10" x14ac:dyDescent="0.3">
      <c r="G494">
        <f>both!N502</f>
        <v>0.78479878633761502</v>
      </c>
      <c r="H494">
        <f>soc!N502</f>
        <v>0.10920088073835967</v>
      </c>
      <c r="I494">
        <f t="shared" si="14"/>
        <v>1576</v>
      </c>
      <c r="J494">
        <f t="shared" si="15"/>
        <v>693</v>
      </c>
    </row>
    <row r="495" spans="7:10" x14ac:dyDescent="0.3">
      <c r="G495">
        <f>both!N503</f>
        <v>0.60760534835713331</v>
      </c>
      <c r="H495">
        <f>soc!N503</f>
        <v>0.22720847359183741</v>
      </c>
      <c r="I495">
        <f t="shared" si="14"/>
        <v>1269</v>
      </c>
      <c r="J495">
        <f t="shared" si="15"/>
        <v>789</v>
      </c>
    </row>
    <row r="496" spans="7:10" x14ac:dyDescent="0.3">
      <c r="G496">
        <f>both!N504</f>
        <v>0.68570163460596623</v>
      </c>
      <c r="H496">
        <f>soc!N504</f>
        <v>1.6481904739059552E-3</v>
      </c>
      <c r="I496">
        <f t="shared" si="14"/>
        <v>1385</v>
      </c>
      <c r="J496">
        <f t="shared" si="15"/>
        <v>225</v>
      </c>
    </row>
    <row r="497" spans="7:10" x14ac:dyDescent="0.3">
      <c r="G497">
        <f>both!N505</f>
        <v>0.88361127646485027</v>
      </c>
      <c r="H497">
        <f>soc!N505</f>
        <v>9.5231437475474417E-4</v>
      </c>
      <c r="I497">
        <f t="shared" si="14"/>
        <v>1795</v>
      </c>
      <c r="J497">
        <f t="shared" si="15"/>
        <v>171</v>
      </c>
    </row>
    <row r="498" spans="7:10" x14ac:dyDescent="0.3">
      <c r="G498">
        <f>both!N506</f>
        <v>0.40736304918118438</v>
      </c>
      <c r="H498">
        <f>soc!N506</f>
        <v>8.371878567906664E-2</v>
      </c>
      <c r="I498">
        <f t="shared" si="14"/>
        <v>986</v>
      </c>
      <c r="J498">
        <f t="shared" si="15"/>
        <v>665</v>
      </c>
    </row>
    <row r="499" spans="7:10" x14ac:dyDescent="0.3">
      <c r="G499">
        <f>both!N507</f>
        <v>0.39247946378175186</v>
      </c>
      <c r="H499">
        <f>soc!N507</f>
        <v>3.3423582739434183E-5</v>
      </c>
      <c r="I499">
        <f t="shared" si="14"/>
        <v>967</v>
      </c>
      <c r="J499">
        <f t="shared" si="15"/>
        <v>25</v>
      </c>
    </row>
    <row r="500" spans="7:10" x14ac:dyDescent="0.3">
      <c r="G500">
        <f>both!N508</f>
        <v>0.92519686216170272</v>
      </c>
      <c r="H500">
        <f>soc!N508</f>
        <v>0.70270255565310724</v>
      </c>
      <c r="I500">
        <f t="shared" si="14"/>
        <v>1876</v>
      </c>
      <c r="J500">
        <f t="shared" si="15"/>
        <v>1418</v>
      </c>
    </row>
    <row r="501" spans="7:10" x14ac:dyDescent="0.3">
      <c r="G501">
        <f>both!N509</f>
        <v>0.80610561605185493</v>
      </c>
      <c r="H501">
        <f>soc!N509</f>
        <v>1.9724225601649584E-3</v>
      </c>
      <c r="I501">
        <f t="shared" si="14"/>
        <v>1617</v>
      </c>
      <c r="J501">
        <f t="shared" si="15"/>
        <v>248</v>
      </c>
    </row>
    <row r="502" spans="7:10" x14ac:dyDescent="0.3">
      <c r="G502">
        <f>both!N510</f>
        <v>0.9285619931331377</v>
      </c>
      <c r="H502">
        <f>soc!N510</f>
        <v>6.5157772540457626E-2</v>
      </c>
      <c r="I502">
        <f t="shared" si="14"/>
        <v>1884</v>
      </c>
      <c r="J502">
        <f t="shared" si="15"/>
        <v>641</v>
      </c>
    </row>
    <row r="503" spans="7:10" x14ac:dyDescent="0.3">
      <c r="G503">
        <f>both!N511</f>
        <v>0.7134777176849163</v>
      </c>
      <c r="H503">
        <f>soc!N511</f>
        <v>1.8927096157204701E-3</v>
      </c>
      <c r="I503">
        <f t="shared" si="14"/>
        <v>1437</v>
      </c>
      <c r="J503">
        <f t="shared" si="15"/>
        <v>243</v>
      </c>
    </row>
    <row r="504" spans="7:10" x14ac:dyDescent="0.3">
      <c r="G504">
        <f>both!N512</f>
        <v>0.52322289392739829</v>
      </c>
      <c r="H504">
        <f>soc!N512</f>
        <v>0.26311096915310811</v>
      </c>
      <c r="I504">
        <f t="shared" si="14"/>
        <v>1135</v>
      </c>
      <c r="J504">
        <f t="shared" si="15"/>
        <v>819</v>
      </c>
    </row>
    <row r="505" spans="7:10" x14ac:dyDescent="0.3">
      <c r="G505">
        <f>both!N513</f>
        <v>0.38004441737376699</v>
      </c>
      <c r="H505">
        <f>soc!N513</f>
        <v>0.70036867547965531</v>
      </c>
      <c r="I505">
        <f t="shared" si="14"/>
        <v>946</v>
      </c>
      <c r="J505">
        <f t="shared" si="15"/>
        <v>1413</v>
      </c>
    </row>
    <row r="506" spans="7:10" x14ac:dyDescent="0.3">
      <c r="G506">
        <f>both!N514</f>
        <v>0.34522634479285014</v>
      </c>
      <c r="H506">
        <f>soc!N514</f>
        <v>0.99947067647861654</v>
      </c>
      <c r="I506">
        <f t="shared" si="14"/>
        <v>905</v>
      </c>
      <c r="J506">
        <f t="shared" si="15"/>
        <v>1990</v>
      </c>
    </row>
    <row r="507" spans="7:10" x14ac:dyDescent="0.3">
      <c r="G507">
        <f>both!N515</f>
        <v>0.73227934178130583</v>
      </c>
      <c r="H507">
        <f>soc!N515</f>
        <v>0.91014455377486536</v>
      </c>
      <c r="I507">
        <f t="shared" si="14"/>
        <v>1474</v>
      </c>
      <c r="J507">
        <f t="shared" si="15"/>
        <v>1846</v>
      </c>
    </row>
    <row r="508" spans="7:10" x14ac:dyDescent="0.3">
      <c r="G508">
        <f>both!N516</f>
        <v>0.31934373808645622</v>
      </c>
      <c r="H508">
        <f>soc!N516</f>
        <v>0.30389767179455218</v>
      </c>
      <c r="I508">
        <f t="shared" si="14"/>
        <v>871</v>
      </c>
      <c r="J508">
        <f t="shared" si="15"/>
        <v>854</v>
      </c>
    </row>
    <row r="509" spans="7:10" x14ac:dyDescent="0.3">
      <c r="G509">
        <f>both!N517</f>
        <v>0.77535428884201629</v>
      </c>
      <c r="H509">
        <f>soc!N517</f>
        <v>0.17539857837568995</v>
      </c>
      <c r="I509">
        <f t="shared" si="14"/>
        <v>1564</v>
      </c>
      <c r="J509">
        <f t="shared" si="15"/>
        <v>746</v>
      </c>
    </row>
    <row r="510" spans="7:10" x14ac:dyDescent="0.3">
      <c r="G510">
        <f>both!N518</f>
        <v>0.96992506656903366</v>
      </c>
      <c r="H510">
        <f>soc!N518</f>
        <v>9.6429270012605441E-4</v>
      </c>
      <c r="I510">
        <f t="shared" si="14"/>
        <v>1950</v>
      </c>
      <c r="J510">
        <f t="shared" si="15"/>
        <v>172</v>
      </c>
    </row>
    <row r="511" spans="7:10" x14ac:dyDescent="0.3">
      <c r="G511">
        <f>both!N519</f>
        <v>0.56062074620750324</v>
      </c>
      <c r="H511">
        <f>soc!N519</f>
        <v>5.4158451701931563E-3</v>
      </c>
      <c r="I511">
        <f t="shared" si="14"/>
        <v>1193</v>
      </c>
      <c r="J511">
        <f t="shared" si="15"/>
        <v>360</v>
      </c>
    </row>
    <row r="512" spans="7:10" x14ac:dyDescent="0.3">
      <c r="G512">
        <f>both!N520</f>
        <v>0.83489039492265738</v>
      </c>
      <c r="H512">
        <f>soc!N520</f>
        <v>0.24529069711607518</v>
      </c>
      <c r="I512">
        <f t="shared" si="14"/>
        <v>1681</v>
      </c>
      <c r="J512">
        <f t="shared" si="15"/>
        <v>802</v>
      </c>
    </row>
    <row r="513" spans="7:10" x14ac:dyDescent="0.3">
      <c r="G513">
        <f>both!N521</f>
        <v>0.86937348254906799</v>
      </c>
      <c r="H513">
        <f>soc!N521</f>
        <v>3.7189171624165622E-4</v>
      </c>
      <c r="I513">
        <f t="shared" si="14"/>
        <v>1767</v>
      </c>
      <c r="J513">
        <f t="shared" si="15"/>
        <v>110</v>
      </c>
    </row>
    <row r="514" spans="7:10" x14ac:dyDescent="0.3">
      <c r="G514">
        <f>both!N522</f>
        <v>0.82299194655080099</v>
      </c>
      <c r="H514">
        <f>soc!N522</f>
        <v>1.3208907598637181E-3</v>
      </c>
      <c r="I514">
        <f t="shared" si="14"/>
        <v>1646</v>
      </c>
      <c r="J514">
        <f t="shared" si="15"/>
        <v>200</v>
      </c>
    </row>
    <row r="515" spans="7:10" x14ac:dyDescent="0.3">
      <c r="G515">
        <f>both!N523</f>
        <v>0.28089382426641918</v>
      </c>
      <c r="H515">
        <f>soc!N523</f>
        <v>0.79435868423116318</v>
      </c>
      <c r="I515">
        <f t="shared" si="14"/>
        <v>834</v>
      </c>
      <c r="J515">
        <f t="shared" si="15"/>
        <v>1594</v>
      </c>
    </row>
    <row r="516" spans="7:10" x14ac:dyDescent="0.3">
      <c r="G516">
        <f>both!N524</f>
        <v>0.49249749461884451</v>
      </c>
      <c r="H516">
        <f>soc!N524</f>
        <v>0.79527150476126263</v>
      </c>
      <c r="I516">
        <f t="shared" si="14"/>
        <v>1089</v>
      </c>
      <c r="J516">
        <f t="shared" si="15"/>
        <v>1596</v>
      </c>
    </row>
    <row r="517" spans="7:10" x14ac:dyDescent="0.3">
      <c r="G517">
        <f>both!N525</f>
        <v>0.82930198618533002</v>
      </c>
      <c r="H517">
        <f>soc!N525</f>
        <v>0.30045231295279601</v>
      </c>
      <c r="I517">
        <f t="shared" ref="I517:I580" si="16">RANK(G517,$G$4:$H$1004,1) + (COUNTIF($G$4:$H$1004,G517)-1)/2</f>
        <v>1664</v>
      </c>
      <c r="J517">
        <f t="shared" ref="J517:J580" si="17">RANK(H517,$G$4:$H$1004,1) + (COUNTIF($G$4:$H$1004,H517)-1)/2</f>
        <v>849</v>
      </c>
    </row>
    <row r="518" spans="7:10" x14ac:dyDescent="0.3">
      <c r="G518">
        <f>both!N526</f>
        <v>0.88033085341118444</v>
      </c>
      <c r="H518">
        <f>soc!N526</f>
        <v>8.5367594964806909E-4</v>
      </c>
      <c r="I518">
        <f t="shared" si="16"/>
        <v>1787</v>
      </c>
      <c r="J518">
        <f t="shared" si="17"/>
        <v>162</v>
      </c>
    </row>
    <row r="519" spans="7:10" x14ac:dyDescent="0.3">
      <c r="G519">
        <f>both!N527</f>
        <v>0.57676745716918887</v>
      </c>
      <c r="H519">
        <f>soc!N527</f>
        <v>0.85452199410045304</v>
      </c>
      <c r="I519">
        <f t="shared" si="16"/>
        <v>1215</v>
      </c>
      <c r="J519">
        <f t="shared" si="17"/>
        <v>1720</v>
      </c>
    </row>
    <row r="520" spans="7:10" x14ac:dyDescent="0.3">
      <c r="G520">
        <f>both!N528</f>
        <v>0.18080071227143324</v>
      </c>
      <c r="H520">
        <f>soc!N528</f>
        <v>3.9811101627263035E-2</v>
      </c>
      <c r="I520">
        <f t="shared" si="16"/>
        <v>755</v>
      </c>
      <c r="J520">
        <f t="shared" si="17"/>
        <v>582</v>
      </c>
    </row>
    <row r="521" spans="7:10" x14ac:dyDescent="0.3">
      <c r="G521">
        <f>both!N529</f>
        <v>0.76699024645267633</v>
      </c>
      <c r="H521">
        <f>soc!N529</f>
        <v>0.37955256774742163</v>
      </c>
      <c r="I521">
        <f t="shared" si="16"/>
        <v>1552</v>
      </c>
      <c r="J521">
        <f t="shared" si="17"/>
        <v>945</v>
      </c>
    </row>
    <row r="522" spans="7:10" x14ac:dyDescent="0.3">
      <c r="G522">
        <f>both!N530</f>
        <v>0.37045920195256116</v>
      </c>
      <c r="H522">
        <f>soc!N530</f>
        <v>3.6259534807853993E-6</v>
      </c>
      <c r="I522">
        <f t="shared" si="16"/>
        <v>936</v>
      </c>
      <c r="J522">
        <f t="shared" si="17"/>
        <v>3</v>
      </c>
    </row>
    <row r="523" spans="7:10" x14ac:dyDescent="0.3">
      <c r="G523">
        <f>both!N531</f>
        <v>0.5830473738828601</v>
      </c>
      <c r="H523">
        <f>soc!N531</f>
        <v>8.1423246961893053E-3</v>
      </c>
      <c r="I523">
        <f t="shared" si="16"/>
        <v>1224</v>
      </c>
      <c r="J523">
        <f t="shared" si="17"/>
        <v>402</v>
      </c>
    </row>
    <row r="524" spans="7:10" x14ac:dyDescent="0.3">
      <c r="G524">
        <f>both!N532</f>
        <v>0.31475387311097192</v>
      </c>
      <c r="H524">
        <f>soc!N532</f>
        <v>1.9934917017804723E-3</v>
      </c>
      <c r="I524">
        <f t="shared" si="16"/>
        <v>868</v>
      </c>
      <c r="J524">
        <f t="shared" si="17"/>
        <v>250</v>
      </c>
    </row>
    <row r="525" spans="7:10" x14ac:dyDescent="0.3">
      <c r="G525">
        <f>both!N533</f>
        <v>0.33964587835418902</v>
      </c>
      <c r="H525">
        <f>soc!N533</f>
        <v>2.5536671776815473E-3</v>
      </c>
      <c r="I525">
        <f t="shared" si="16"/>
        <v>898</v>
      </c>
      <c r="J525">
        <f t="shared" si="17"/>
        <v>269</v>
      </c>
    </row>
    <row r="526" spans="7:10" x14ac:dyDescent="0.3">
      <c r="G526">
        <f>both!N534</f>
        <v>0.85220313502097544</v>
      </c>
      <c r="H526">
        <f>soc!N534</f>
        <v>5.7515871207130448E-2</v>
      </c>
      <c r="I526">
        <f t="shared" si="16"/>
        <v>1718</v>
      </c>
      <c r="J526">
        <f t="shared" si="17"/>
        <v>630</v>
      </c>
    </row>
    <row r="527" spans="7:10" x14ac:dyDescent="0.3">
      <c r="G527">
        <f>both!N535</f>
        <v>0.12475541728688189</v>
      </c>
      <c r="H527">
        <f>soc!N535</f>
        <v>6.3079294662339526E-4</v>
      </c>
      <c r="I527">
        <f t="shared" si="16"/>
        <v>708</v>
      </c>
      <c r="J527">
        <f t="shared" si="17"/>
        <v>144</v>
      </c>
    </row>
    <row r="528" spans="7:10" x14ac:dyDescent="0.3">
      <c r="G528">
        <f>both!N536</f>
        <v>0.35056046168074328</v>
      </c>
      <c r="H528">
        <f>soc!N536</f>
        <v>3.5922229883300634E-2</v>
      </c>
      <c r="I528">
        <f t="shared" si="16"/>
        <v>908</v>
      </c>
      <c r="J528">
        <f t="shared" si="17"/>
        <v>572</v>
      </c>
    </row>
    <row r="529" spans="7:10" x14ac:dyDescent="0.3">
      <c r="G529">
        <f>both!N537</f>
        <v>0.9417245189520288</v>
      </c>
      <c r="H529">
        <f>soc!N537</f>
        <v>5.6984242240737649E-2</v>
      </c>
      <c r="I529">
        <f t="shared" si="16"/>
        <v>1906</v>
      </c>
      <c r="J529">
        <f t="shared" si="17"/>
        <v>628</v>
      </c>
    </row>
    <row r="530" spans="7:10" x14ac:dyDescent="0.3">
      <c r="G530">
        <f>both!N538</f>
        <v>0.82724070612938538</v>
      </c>
      <c r="H530">
        <f>soc!N538</f>
        <v>5.1419544237007293E-2</v>
      </c>
      <c r="I530">
        <f t="shared" si="16"/>
        <v>1655</v>
      </c>
      <c r="J530">
        <f t="shared" si="17"/>
        <v>617</v>
      </c>
    </row>
    <row r="531" spans="7:10" x14ac:dyDescent="0.3">
      <c r="G531">
        <f>both!N539</f>
        <v>0.36635167014108261</v>
      </c>
      <c r="H531">
        <f>soc!N539</f>
        <v>6.6548554408474681E-6</v>
      </c>
      <c r="I531">
        <f t="shared" si="16"/>
        <v>931</v>
      </c>
      <c r="J531">
        <f t="shared" si="17"/>
        <v>6</v>
      </c>
    </row>
    <row r="532" spans="7:10" x14ac:dyDescent="0.3">
      <c r="G532">
        <f>both!N540</f>
        <v>0.4064688649231325</v>
      </c>
      <c r="H532">
        <f>soc!N540</f>
        <v>0.17683358100798008</v>
      </c>
      <c r="I532">
        <f t="shared" si="16"/>
        <v>984</v>
      </c>
      <c r="J532">
        <f t="shared" si="17"/>
        <v>749</v>
      </c>
    </row>
    <row r="533" spans="7:10" x14ac:dyDescent="0.3">
      <c r="G533">
        <f>both!N541</f>
        <v>0.86382330410432606</v>
      </c>
      <c r="H533">
        <f>soc!N541</f>
        <v>1.694091445562648E-4</v>
      </c>
      <c r="I533">
        <f t="shared" si="16"/>
        <v>1748</v>
      </c>
      <c r="J533">
        <f t="shared" si="17"/>
        <v>70</v>
      </c>
    </row>
    <row r="534" spans="7:10" x14ac:dyDescent="0.3">
      <c r="G534">
        <f>both!N542</f>
        <v>0.9254706902445502</v>
      </c>
      <c r="H534">
        <f>soc!N542</f>
        <v>2.8495592721130272E-3</v>
      </c>
      <c r="I534">
        <f t="shared" si="16"/>
        <v>1877</v>
      </c>
      <c r="J534">
        <f t="shared" si="17"/>
        <v>281</v>
      </c>
    </row>
    <row r="535" spans="7:10" x14ac:dyDescent="0.3">
      <c r="G535">
        <f>both!N543</f>
        <v>0.59389947213582939</v>
      </c>
      <c r="H535">
        <f>soc!N543</f>
        <v>1.371781834979148E-2</v>
      </c>
      <c r="I535">
        <f t="shared" si="16"/>
        <v>1250</v>
      </c>
      <c r="J535">
        <f t="shared" si="17"/>
        <v>458</v>
      </c>
    </row>
    <row r="536" spans="7:10" x14ac:dyDescent="0.3">
      <c r="G536">
        <f>both!N544</f>
        <v>0.48494286388522789</v>
      </c>
      <c r="H536">
        <f>soc!N544</f>
        <v>1.9363389001003689E-3</v>
      </c>
      <c r="I536">
        <f t="shared" si="16"/>
        <v>1077</v>
      </c>
      <c r="J536">
        <f t="shared" si="17"/>
        <v>245</v>
      </c>
    </row>
    <row r="537" spans="7:10" x14ac:dyDescent="0.3">
      <c r="G537">
        <f>both!N545</f>
        <v>0.58747553362335025</v>
      </c>
      <c r="H537">
        <f>soc!N545</f>
        <v>8.5246498223871739E-6</v>
      </c>
      <c r="I537">
        <f t="shared" si="16"/>
        <v>1236</v>
      </c>
      <c r="J537">
        <f t="shared" si="17"/>
        <v>9</v>
      </c>
    </row>
    <row r="538" spans="7:10" x14ac:dyDescent="0.3">
      <c r="G538">
        <f>both!N546</f>
        <v>0.85482033609104513</v>
      </c>
      <c r="H538">
        <f>soc!N546</f>
        <v>1.0536360199768167E-2</v>
      </c>
      <c r="I538">
        <f t="shared" si="16"/>
        <v>1721</v>
      </c>
      <c r="J538">
        <f t="shared" si="17"/>
        <v>434</v>
      </c>
    </row>
    <row r="539" spans="7:10" x14ac:dyDescent="0.3">
      <c r="G539">
        <f>both!N547</f>
        <v>0.89171470677728149</v>
      </c>
      <c r="H539">
        <f>soc!N547</f>
        <v>8.7371013656635087E-3</v>
      </c>
      <c r="I539">
        <f t="shared" si="16"/>
        <v>1812</v>
      </c>
      <c r="J539">
        <f t="shared" si="17"/>
        <v>411</v>
      </c>
    </row>
    <row r="540" spans="7:10" x14ac:dyDescent="0.3">
      <c r="G540">
        <f>both!N548</f>
        <v>0.76972991419264414</v>
      </c>
      <c r="H540">
        <f>soc!N548</f>
        <v>1.5072080578156599E-2</v>
      </c>
      <c r="I540">
        <f t="shared" si="16"/>
        <v>1557</v>
      </c>
      <c r="J540">
        <f t="shared" si="17"/>
        <v>471</v>
      </c>
    </row>
    <row r="541" spans="7:10" x14ac:dyDescent="0.3">
      <c r="G541">
        <f>both!N549</f>
        <v>0.15463672094487169</v>
      </c>
      <c r="H541">
        <f>soc!N549</f>
        <v>4.8807977131204664E-3</v>
      </c>
      <c r="I541">
        <f t="shared" si="16"/>
        <v>730</v>
      </c>
      <c r="J541">
        <f t="shared" si="17"/>
        <v>344</v>
      </c>
    </row>
    <row r="542" spans="7:10" x14ac:dyDescent="0.3">
      <c r="G542">
        <f>both!N550</f>
        <v>0.90164834350987833</v>
      </c>
      <c r="H542">
        <f>soc!N550</f>
        <v>4.5612461460206692E-2</v>
      </c>
      <c r="I542">
        <f t="shared" si="16"/>
        <v>1830</v>
      </c>
      <c r="J542">
        <f t="shared" si="17"/>
        <v>602</v>
      </c>
    </row>
    <row r="543" spans="7:10" x14ac:dyDescent="0.3">
      <c r="G543">
        <f>both!N551</f>
        <v>0.83017145989999008</v>
      </c>
      <c r="H543">
        <f>soc!N551</f>
        <v>7.6616830034857957E-3</v>
      </c>
      <c r="I543">
        <f t="shared" si="16"/>
        <v>1667</v>
      </c>
      <c r="J543">
        <f t="shared" si="17"/>
        <v>388</v>
      </c>
    </row>
    <row r="544" spans="7:10" x14ac:dyDescent="0.3">
      <c r="G544">
        <f>both!N552</f>
        <v>0.84534800809179789</v>
      </c>
      <c r="H544">
        <f>soc!N552</f>
        <v>5.5124272301650492E-4</v>
      </c>
      <c r="I544">
        <f t="shared" si="16"/>
        <v>1706</v>
      </c>
      <c r="J544">
        <f t="shared" si="17"/>
        <v>134</v>
      </c>
    </row>
    <row r="545" spans="7:10" x14ac:dyDescent="0.3">
      <c r="G545">
        <f>both!N553</f>
        <v>0.7637332277381863</v>
      </c>
      <c r="H545">
        <f>soc!N553</f>
        <v>0.52932847800832128</v>
      </c>
      <c r="I545">
        <f t="shared" si="16"/>
        <v>1546</v>
      </c>
      <c r="J545">
        <f t="shared" si="17"/>
        <v>1144</v>
      </c>
    </row>
    <row r="546" spans="7:10" x14ac:dyDescent="0.3">
      <c r="G546">
        <f>both!N554</f>
        <v>0.3647761199119236</v>
      </c>
      <c r="H546">
        <f>soc!N554</f>
        <v>4.137643598940749E-2</v>
      </c>
      <c r="I546">
        <f t="shared" si="16"/>
        <v>929</v>
      </c>
      <c r="J546">
        <f t="shared" si="17"/>
        <v>589</v>
      </c>
    </row>
    <row r="547" spans="7:10" x14ac:dyDescent="0.3">
      <c r="G547">
        <f>both!N555</f>
        <v>0.65790919428132133</v>
      </c>
      <c r="H547">
        <f>soc!N555</f>
        <v>3.1141571899128513E-4</v>
      </c>
      <c r="I547">
        <f t="shared" si="16"/>
        <v>1338</v>
      </c>
      <c r="J547">
        <f t="shared" si="17"/>
        <v>103</v>
      </c>
    </row>
    <row r="548" spans="7:10" x14ac:dyDescent="0.3">
      <c r="G548">
        <f>both!N556</f>
        <v>0.25581841293833285</v>
      </c>
      <c r="H548">
        <f>soc!N556</f>
        <v>1.3309796320978362E-3</v>
      </c>
      <c r="I548">
        <f t="shared" si="16"/>
        <v>813</v>
      </c>
      <c r="J548">
        <f t="shared" si="17"/>
        <v>202</v>
      </c>
    </row>
    <row r="549" spans="7:10" x14ac:dyDescent="0.3">
      <c r="G549">
        <f>both!N557</f>
        <v>0.98348012010093777</v>
      </c>
      <c r="H549">
        <f>soc!N557</f>
        <v>0.76311726694745208</v>
      </c>
      <c r="I549">
        <f t="shared" si="16"/>
        <v>1968</v>
      </c>
      <c r="J549">
        <f t="shared" si="17"/>
        <v>1543</v>
      </c>
    </row>
    <row r="550" spans="7:10" x14ac:dyDescent="0.3">
      <c r="G550">
        <f>both!N558</f>
        <v>0.54414343239235341</v>
      </c>
      <c r="H550">
        <f>soc!N558</f>
        <v>0.8652353291692757</v>
      </c>
      <c r="I550">
        <f t="shared" si="16"/>
        <v>1164</v>
      </c>
      <c r="J550">
        <f t="shared" si="17"/>
        <v>1755</v>
      </c>
    </row>
    <row r="551" spans="7:10" x14ac:dyDescent="0.3">
      <c r="G551">
        <f>both!N559</f>
        <v>0.82376428236785426</v>
      </c>
      <c r="H551">
        <f>soc!N559</f>
        <v>8.0304806544524276E-3</v>
      </c>
      <c r="I551">
        <f t="shared" si="16"/>
        <v>1649</v>
      </c>
      <c r="J551">
        <f t="shared" si="17"/>
        <v>397</v>
      </c>
    </row>
    <row r="552" spans="7:10" x14ac:dyDescent="0.3">
      <c r="G552">
        <f>both!N560</f>
        <v>0.74575815909414334</v>
      </c>
      <c r="H552">
        <f>soc!N560</f>
        <v>1.1931996912937547E-2</v>
      </c>
      <c r="I552">
        <f t="shared" si="16"/>
        <v>1506</v>
      </c>
      <c r="J552">
        <f t="shared" si="17"/>
        <v>444</v>
      </c>
    </row>
    <row r="553" spans="7:10" x14ac:dyDescent="0.3">
      <c r="G553">
        <f>both!N561</f>
        <v>0.22117966107490578</v>
      </c>
      <c r="H553">
        <f>soc!N561</f>
        <v>7.688117336724401E-2</v>
      </c>
      <c r="I553">
        <f t="shared" si="16"/>
        <v>783</v>
      </c>
      <c r="J553">
        <f t="shared" si="17"/>
        <v>657</v>
      </c>
    </row>
    <row r="554" spans="7:10" x14ac:dyDescent="0.3">
      <c r="G554">
        <f>both!N562</f>
        <v>0.58307492681243944</v>
      </c>
      <c r="H554">
        <f>soc!N562</f>
        <v>3.9672514957628975E-3</v>
      </c>
      <c r="I554">
        <f t="shared" si="16"/>
        <v>1225</v>
      </c>
      <c r="J554">
        <f t="shared" si="17"/>
        <v>313</v>
      </c>
    </row>
    <row r="555" spans="7:10" x14ac:dyDescent="0.3">
      <c r="G555">
        <f>both!N563</f>
        <v>0.7362000961432863</v>
      </c>
      <c r="H555">
        <f>soc!N563</f>
        <v>0.20656411603024949</v>
      </c>
      <c r="I555">
        <f t="shared" si="16"/>
        <v>1485</v>
      </c>
      <c r="J555">
        <f t="shared" si="17"/>
        <v>778</v>
      </c>
    </row>
    <row r="556" spans="7:10" x14ac:dyDescent="0.3">
      <c r="G556">
        <f>both!N564</f>
        <v>0.91932828614511575</v>
      </c>
      <c r="H556">
        <f>soc!N564</f>
        <v>1.0489284612388262E-5</v>
      </c>
      <c r="I556">
        <f t="shared" si="16"/>
        <v>1863</v>
      </c>
      <c r="J556">
        <f t="shared" si="17"/>
        <v>11</v>
      </c>
    </row>
    <row r="557" spans="7:10" x14ac:dyDescent="0.3">
      <c r="G557">
        <f>both!N565</f>
        <v>0.61079910301668017</v>
      </c>
      <c r="H557">
        <f>soc!N565</f>
        <v>8.1386778956003061E-3</v>
      </c>
      <c r="I557">
        <f t="shared" si="16"/>
        <v>1272</v>
      </c>
      <c r="J557">
        <f t="shared" si="17"/>
        <v>401</v>
      </c>
    </row>
    <row r="558" spans="7:10" x14ac:dyDescent="0.3">
      <c r="G558">
        <f>both!N566</f>
        <v>0.45647659883640423</v>
      </c>
      <c r="H558">
        <f>soc!N566</f>
        <v>1.7723575123579648E-2</v>
      </c>
      <c r="I558">
        <f t="shared" si="16"/>
        <v>1038</v>
      </c>
      <c r="J558">
        <f t="shared" si="17"/>
        <v>490</v>
      </c>
    </row>
    <row r="559" spans="7:10" x14ac:dyDescent="0.3">
      <c r="G559">
        <f>both!N567</f>
        <v>0.63509300927697754</v>
      </c>
      <c r="H559">
        <f>soc!N567</f>
        <v>1.0762991350249784E-3</v>
      </c>
      <c r="I559">
        <f t="shared" si="16"/>
        <v>1307</v>
      </c>
      <c r="J559">
        <f t="shared" si="17"/>
        <v>180</v>
      </c>
    </row>
    <row r="560" spans="7:10" x14ac:dyDescent="0.3">
      <c r="G560">
        <f>both!N568</f>
        <v>0.88301542752441042</v>
      </c>
      <c r="H560">
        <f>soc!N568</f>
        <v>0.83093539376407366</v>
      </c>
      <c r="I560">
        <f t="shared" si="16"/>
        <v>1793</v>
      </c>
      <c r="J560">
        <f t="shared" si="17"/>
        <v>1668</v>
      </c>
    </row>
    <row r="561" spans="7:10" x14ac:dyDescent="0.3">
      <c r="G561">
        <f>both!N569</f>
        <v>0.81399392023420214</v>
      </c>
      <c r="H561">
        <f>soc!N569</f>
        <v>2.1878800176066194E-3</v>
      </c>
      <c r="I561">
        <f t="shared" si="16"/>
        <v>1631</v>
      </c>
      <c r="J561">
        <f t="shared" si="17"/>
        <v>258</v>
      </c>
    </row>
    <row r="562" spans="7:10" x14ac:dyDescent="0.3">
      <c r="G562">
        <f>both!N570</f>
        <v>0.58729233798682356</v>
      </c>
      <c r="H562">
        <f>soc!N570</f>
        <v>0.43141620190975893</v>
      </c>
      <c r="I562">
        <f t="shared" si="16"/>
        <v>1232</v>
      </c>
      <c r="J562">
        <f t="shared" si="17"/>
        <v>1013</v>
      </c>
    </row>
    <row r="563" spans="7:10" x14ac:dyDescent="0.3">
      <c r="G563">
        <f>both!N571</f>
        <v>0.81389821415830133</v>
      </c>
      <c r="H563">
        <f>soc!N571</f>
        <v>0.11765026520495173</v>
      </c>
      <c r="I563">
        <f t="shared" si="16"/>
        <v>1630</v>
      </c>
      <c r="J563">
        <f t="shared" si="17"/>
        <v>701</v>
      </c>
    </row>
    <row r="564" spans="7:10" x14ac:dyDescent="0.3">
      <c r="G564">
        <f>both!N572</f>
        <v>0.88879523514634273</v>
      </c>
      <c r="H564">
        <f>soc!N572</f>
        <v>1.7332602397666295E-2</v>
      </c>
      <c r="I564">
        <f t="shared" si="16"/>
        <v>1804</v>
      </c>
      <c r="J564">
        <f t="shared" si="17"/>
        <v>486</v>
      </c>
    </row>
    <row r="565" spans="7:10" x14ac:dyDescent="0.3">
      <c r="G565">
        <f>both!N573</f>
        <v>0.83353842726004279</v>
      </c>
      <c r="H565">
        <f>soc!N573</f>
        <v>1.6951603663198228E-3</v>
      </c>
      <c r="I565">
        <f t="shared" si="16"/>
        <v>1677</v>
      </c>
      <c r="J565">
        <f t="shared" si="17"/>
        <v>228</v>
      </c>
    </row>
    <row r="566" spans="7:10" x14ac:dyDescent="0.3">
      <c r="G566">
        <f>both!N574</f>
        <v>0.7439711189354743</v>
      </c>
      <c r="H566">
        <f>soc!N574</f>
        <v>3.0907327296483347E-2</v>
      </c>
      <c r="I566">
        <f t="shared" si="16"/>
        <v>1502</v>
      </c>
      <c r="J566">
        <f t="shared" si="17"/>
        <v>552</v>
      </c>
    </row>
    <row r="567" spans="7:10" x14ac:dyDescent="0.3">
      <c r="G567">
        <f>both!N575</f>
        <v>0.59983209418143557</v>
      </c>
      <c r="H567">
        <f>soc!N575</f>
        <v>1.6257731253183492E-2</v>
      </c>
      <c r="I567">
        <f t="shared" si="16"/>
        <v>1261</v>
      </c>
      <c r="J567">
        <f t="shared" si="17"/>
        <v>476</v>
      </c>
    </row>
    <row r="568" spans="7:10" x14ac:dyDescent="0.3">
      <c r="G568">
        <f>both!N576</f>
        <v>0.23138294695801981</v>
      </c>
      <c r="H568">
        <f>soc!N576</f>
        <v>0.13018231132039684</v>
      </c>
      <c r="I568">
        <f t="shared" si="16"/>
        <v>793</v>
      </c>
      <c r="J568">
        <f t="shared" si="17"/>
        <v>715</v>
      </c>
    </row>
    <row r="569" spans="7:10" x14ac:dyDescent="0.3">
      <c r="G569">
        <f>both!N577</f>
        <v>0.89526828283152726</v>
      </c>
      <c r="H569">
        <f>soc!N577</f>
        <v>3.8472167105838213E-4</v>
      </c>
      <c r="I569">
        <f t="shared" si="16"/>
        <v>1819</v>
      </c>
      <c r="J569">
        <f t="shared" si="17"/>
        <v>112</v>
      </c>
    </row>
    <row r="570" spans="7:10" x14ac:dyDescent="0.3">
      <c r="G570">
        <f>both!N578</f>
        <v>0.42527883793831117</v>
      </c>
      <c r="H570">
        <f>soc!N578</f>
        <v>3.1465197903671787E-5</v>
      </c>
      <c r="I570">
        <f t="shared" si="16"/>
        <v>1003</v>
      </c>
      <c r="J570">
        <f t="shared" si="17"/>
        <v>21</v>
      </c>
    </row>
    <row r="571" spans="7:10" x14ac:dyDescent="0.3">
      <c r="G571">
        <f>both!N579</f>
        <v>0.91219228279847298</v>
      </c>
      <c r="H571">
        <f>soc!N579</f>
        <v>9.0263058477665178E-2</v>
      </c>
      <c r="I571">
        <f t="shared" si="16"/>
        <v>1849</v>
      </c>
      <c r="J571">
        <f t="shared" si="17"/>
        <v>674</v>
      </c>
    </row>
    <row r="572" spans="7:10" x14ac:dyDescent="0.3">
      <c r="G572">
        <f>both!N580</f>
        <v>0.65602258566242877</v>
      </c>
      <c r="H572">
        <f>soc!N580</f>
        <v>0.19569798669776298</v>
      </c>
      <c r="I572">
        <f t="shared" si="16"/>
        <v>1337</v>
      </c>
      <c r="J572">
        <f t="shared" si="17"/>
        <v>770</v>
      </c>
    </row>
    <row r="573" spans="7:10" x14ac:dyDescent="0.3">
      <c r="G573">
        <f>both!N581</f>
        <v>0.56126454456850128</v>
      </c>
      <c r="H573">
        <f>soc!N581</f>
        <v>1.9407273678235471E-4</v>
      </c>
      <c r="I573">
        <f t="shared" si="16"/>
        <v>1195</v>
      </c>
      <c r="J573">
        <f t="shared" si="17"/>
        <v>80</v>
      </c>
    </row>
    <row r="574" spans="7:10" x14ac:dyDescent="0.3">
      <c r="G574">
        <f>both!N582</f>
        <v>0.91846642205822426</v>
      </c>
      <c r="H574">
        <f>soc!N582</f>
        <v>0.50561564075831689</v>
      </c>
      <c r="I574">
        <f t="shared" si="16"/>
        <v>1862</v>
      </c>
      <c r="J574">
        <f t="shared" si="17"/>
        <v>1103</v>
      </c>
    </row>
    <row r="575" spans="7:10" x14ac:dyDescent="0.3">
      <c r="G575">
        <f>both!N583</f>
        <v>0.19245613237979886</v>
      </c>
      <c r="H575">
        <f>soc!N583</f>
        <v>9.1265914120618515E-3</v>
      </c>
      <c r="I575">
        <f t="shared" si="16"/>
        <v>764</v>
      </c>
      <c r="J575">
        <f t="shared" si="17"/>
        <v>419</v>
      </c>
    </row>
    <row r="576" spans="7:10" x14ac:dyDescent="0.3">
      <c r="G576">
        <f>both!N584</f>
        <v>0.68546166976708334</v>
      </c>
      <c r="H576">
        <f>soc!N584</f>
        <v>0.66742785702621299</v>
      </c>
      <c r="I576">
        <f t="shared" si="16"/>
        <v>1384</v>
      </c>
      <c r="J576">
        <f t="shared" si="17"/>
        <v>1361</v>
      </c>
    </row>
    <row r="577" spans="7:10" x14ac:dyDescent="0.3">
      <c r="G577">
        <f>both!N585</f>
        <v>0.9378317436016842</v>
      </c>
      <c r="H577">
        <f>soc!N585</f>
        <v>4.2200031066596638E-4</v>
      </c>
      <c r="I577">
        <f t="shared" si="16"/>
        <v>1897</v>
      </c>
      <c r="J577">
        <f t="shared" si="17"/>
        <v>118</v>
      </c>
    </row>
    <row r="578" spans="7:10" x14ac:dyDescent="0.3">
      <c r="G578">
        <f>both!N586</f>
        <v>0.7493683619820769</v>
      </c>
      <c r="H578">
        <f>soc!N586</f>
        <v>8.2223769852762824E-3</v>
      </c>
      <c r="I578">
        <f t="shared" si="16"/>
        <v>1512</v>
      </c>
      <c r="J578">
        <f t="shared" si="17"/>
        <v>404</v>
      </c>
    </row>
    <row r="579" spans="7:10" x14ac:dyDescent="0.3">
      <c r="G579">
        <f>both!N587</f>
        <v>0.90611131678213375</v>
      </c>
      <c r="H579">
        <f>soc!N587</f>
        <v>3.8626044815441019E-2</v>
      </c>
      <c r="I579">
        <f t="shared" si="16"/>
        <v>1840</v>
      </c>
      <c r="J579">
        <f t="shared" si="17"/>
        <v>578</v>
      </c>
    </row>
    <row r="580" spans="7:10" x14ac:dyDescent="0.3">
      <c r="G580">
        <f>both!N588</f>
        <v>0.54200247335609775</v>
      </c>
      <c r="H580">
        <f>soc!N588</f>
        <v>0.52518048868186717</v>
      </c>
      <c r="I580">
        <f t="shared" si="16"/>
        <v>1163</v>
      </c>
      <c r="J580">
        <f t="shared" si="17"/>
        <v>1138</v>
      </c>
    </row>
    <row r="581" spans="7:10" x14ac:dyDescent="0.3">
      <c r="G581">
        <f>both!N589</f>
        <v>0.69271688472396931</v>
      </c>
      <c r="H581">
        <f>soc!N589</f>
        <v>1.0124915892717988E-2</v>
      </c>
      <c r="I581">
        <f t="shared" ref="I581:I644" si="18">RANK(G581,$G$4:$H$1004,1) + (COUNTIF($G$4:$H$1004,G581)-1)/2</f>
        <v>1399</v>
      </c>
      <c r="J581">
        <f t="shared" ref="J581:J644" si="19">RANK(H581,$G$4:$H$1004,1) + (COUNTIF($G$4:$H$1004,H581)-1)/2</f>
        <v>427</v>
      </c>
    </row>
    <row r="582" spans="7:10" x14ac:dyDescent="0.3">
      <c r="G582">
        <f>both!N590</f>
        <v>0.72708879607223298</v>
      </c>
      <c r="H582">
        <f>soc!N590</f>
        <v>4.1030591280999895E-2</v>
      </c>
      <c r="I582">
        <f t="shared" si="18"/>
        <v>1466</v>
      </c>
      <c r="J582">
        <f t="shared" si="19"/>
        <v>587</v>
      </c>
    </row>
    <row r="583" spans="7:10" x14ac:dyDescent="0.3">
      <c r="G583">
        <f>both!N591</f>
        <v>0.38577039382520972</v>
      </c>
      <c r="H583">
        <f>soc!N591</f>
        <v>0.1697472404294387</v>
      </c>
      <c r="I583">
        <f t="shared" si="18"/>
        <v>956</v>
      </c>
      <c r="J583">
        <f t="shared" si="19"/>
        <v>744</v>
      </c>
    </row>
    <row r="584" spans="7:10" x14ac:dyDescent="0.3">
      <c r="G584">
        <f>both!N592</f>
        <v>0.38883386865788044</v>
      </c>
      <c r="H584">
        <f>soc!N592</f>
        <v>0.99475674563027472</v>
      </c>
      <c r="I584">
        <f t="shared" si="18"/>
        <v>961</v>
      </c>
      <c r="J584">
        <f t="shared" si="19"/>
        <v>1982</v>
      </c>
    </row>
    <row r="585" spans="7:10" x14ac:dyDescent="0.3">
      <c r="G585">
        <f>both!N593</f>
        <v>0.54946640479698583</v>
      </c>
      <c r="H585">
        <f>soc!N593</f>
        <v>0.18131315115190391</v>
      </c>
      <c r="I585">
        <f t="shared" si="18"/>
        <v>1174</v>
      </c>
      <c r="J585">
        <f t="shared" si="19"/>
        <v>756</v>
      </c>
    </row>
    <row r="586" spans="7:10" x14ac:dyDescent="0.3">
      <c r="G586">
        <f>both!N594</f>
        <v>0.51703681120337608</v>
      </c>
      <c r="H586">
        <f>soc!N594</f>
        <v>0.87087043294256117</v>
      </c>
      <c r="I586">
        <f t="shared" si="18"/>
        <v>1124</v>
      </c>
      <c r="J586">
        <f t="shared" si="19"/>
        <v>1771</v>
      </c>
    </row>
    <row r="587" spans="7:10" x14ac:dyDescent="0.3">
      <c r="G587">
        <f>both!N595</f>
        <v>0.29832308522293338</v>
      </c>
      <c r="H587">
        <f>soc!N595</f>
        <v>2.0640184340905924E-2</v>
      </c>
      <c r="I587">
        <f t="shared" si="18"/>
        <v>846</v>
      </c>
      <c r="J587">
        <f t="shared" si="19"/>
        <v>509</v>
      </c>
    </row>
    <row r="588" spans="7:10" x14ac:dyDescent="0.3">
      <c r="G588">
        <f>both!N596</f>
        <v>0.6544122727158429</v>
      </c>
      <c r="H588">
        <f>soc!N596</f>
        <v>7.7208849126597237E-3</v>
      </c>
      <c r="I588">
        <f t="shared" si="18"/>
        <v>1333</v>
      </c>
      <c r="J588">
        <f t="shared" si="19"/>
        <v>389</v>
      </c>
    </row>
    <row r="589" spans="7:10" x14ac:dyDescent="0.3">
      <c r="G589">
        <f>both!N597</f>
        <v>0.92061747829568896</v>
      </c>
      <c r="H589">
        <f>soc!N597</f>
        <v>4.2078603733659596E-3</v>
      </c>
      <c r="I589">
        <f t="shared" si="18"/>
        <v>1866</v>
      </c>
      <c r="J589">
        <f t="shared" si="19"/>
        <v>320</v>
      </c>
    </row>
    <row r="590" spans="7:10" x14ac:dyDescent="0.3">
      <c r="G590">
        <f>both!N598</f>
        <v>0.94415247567453475</v>
      </c>
      <c r="H590">
        <f>soc!N598</f>
        <v>0.87732049901258491</v>
      </c>
      <c r="I590">
        <f t="shared" si="18"/>
        <v>1909</v>
      </c>
      <c r="J590">
        <f t="shared" si="19"/>
        <v>1780</v>
      </c>
    </row>
    <row r="591" spans="7:10" x14ac:dyDescent="0.3">
      <c r="G591">
        <f>both!N599</f>
        <v>0.90910832010127773</v>
      </c>
      <c r="H591">
        <f>soc!N599</f>
        <v>0.10463459414825436</v>
      </c>
      <c r="I591">
        <f t="shared" si="18"/>
        <v>1844</v>
      </c>
      <c r="J591">
        <f t="shared" si="19"/>
        <v>689</v>
      </c>
    </row>
    <row r="592" spans="7:10" x14ac:dyDescent="0.3">
      <c r="G592">
        <f>both!N600</f>
        <v>0.54125963366846552</v>
      </c>
      <c r="H592">
        <f>soc!N600</f>
        <v>0.18806226852062935</v>
      </c>
      <c r="I592">
        <f t="shared" si="18"/>
        <v>1161</v>
      </c>
      <c r="J592">
        <f t="shared" si="19"/>
        <v>760</v>
      </c>
    </row>
    <row r="593" spans="7:10" x14ac:dyDescent="0.3">
      <c r="G593">
        <f>both!N601</f>
        <v>0.48409563074016526</v>
      </c>
      <c r="H593">
        <f>soc!N601</f>
        <v>5.1439972767457535E-2</v>
      </c>
      <c r="I593">
        <f t="shared" si="18"/>
        <v>1074</v>
      </c>
      <c r="J593">
        <f t="shared" si="19"/>
        <v>618</v>
      </c>
    </row>
    <row r="594" spans="7:10" x14ac:dyDescent="0.3">
      <c r="G594">
        <f>both!N602</f>
        <v>0.82066932042608098</v>
      </c>
      <c r="H594">
        <f>soc!N602</f>
        <v>7.3887050475612863E-3</v>
      </c>
      <c r="I594">
        <f t="shared" si="18"/>
        <v>1642</v>
      </c>
      <c r="J594">
        <f t="shared" si="19"/>
        <v>385</v>
      </c>
    </row>
    <row r="595" spans="7:10" x14ac:dyDescent="0.3">
      <c r="G595">
        <f>both!N603</f>
        <v>0.46906193919815053</v>
      </c>
      <c r="H595">
        <f>soc!N603</f>
        <v>3.2353556475504974E-2</v>
      </c>
      <c r="I595">
        <f t="shared" si="18"/>
        <v>1057</v>
      </c>
      <c r="J595">
        <f t="shared" si="19"/>
        <v>561</v>
      </c>
    </row>
    <row r="596" spans="7:10" x14ac:dyDescent="0.3">
      <c r="G596">
        <f>both!N604</f>
        <v>0.42033373141818675</v>
      </c>
      <c r="H596">
        <f>soc!N604</f>
        <v>3.0980785678669102E-4</v>
      </c>
      <c r="I596">
        <f t="shared" si="18"/>
        <v>998</v>
      </c>
      <c r="J596">
        <f t="shared" si="19"/>
        <v>102</v>
      </c>
    </row>
    <row r="597" spans="7:10" x14ac:dyDescent="0.3">
      <c r="G597">
        <f>both!N605</f>
        <v>0.71868639182281835</v>
      </c>
      <c r="H597">
        <f>soc!N605</f>
        <v>9.2627344642739497E-4</v>
      </c>
      <c r="I597">
        <f t="shared" si="18"/>
        <v>1449</v>
      </c>
      <c r="J597">
        <f t="shared" si="19"/>
        <v>168</v>
      </c>
    </row>
    <row r="598" spans="7:10" x14ac:dyDescent="0.3">
      <c r="G598">
        <f>both!N606</f>
        <v>0.58739948653305007</v>
      </c>
      <c r="H598">
        <f>soc!N606</f>
        <v>0.12439655710997011</v>
      </c>
      <c r="I598">
        <f t="shared" si="18"/>
        <v>1234</v>
      </c>
      <c r="J598">
        <f t="shared" si="19"/>
        <v>706</v>
      </c>
    </row>
    <row r="599" spans="7:10" x14ac:dyDescent="0.3">
      <c r="G599">
        <f>both!N607</f>
        <v>9.8694802403021822E-2</v>
      </c>
      <c r="H599">
        <f>soc!N607</f>
        <v>1.3749223881771202E-4</v>
      </c>
      <c r="I599">
        <f t="shared" si="18"/>
        <v>679</v>
      </c>
      <c r="J599">
        <f t="shared" si="19"/>
        <v>59</v>
      </c>
    </row>
    <row r="600" spans="7:10" x14ac:dyDescent="0.3">
      <c r="G600">
        <f>both!N608</f>
        <v>0.16119613985231793</v>
      </c>
      <c r="H600">
        <f>soc!N608</f>
        <v>9.0489240157091873E-3</v>
      </c>
      <c r="I600">
        <f t="shared" si="18"/>
        <v>735</v>
      </c>
      <c r="J600">
        <f t="shared" si="19"/>
        <v>415</v>
      </c>
    </row>
    <row r="601" spans="7:10" x14ac:dyDescent="0.3">
      <c r="G601">
        <f>both!N609</f>
        <v>0.86536139127603973</v>
      </c>
      <c r="H601">
        <f>soc!N609</f>
        <v>1.1207456699856497E-3</v>
      </c>
      <c r="I601">
        <f t="shared" si="18"/>
        <v>1756</v>
      </c>
      <c r="J601">
        <f t="shared" si="19"/>
        <v>183</v>
      </c>
    </row>
    <row r="602" spans="7:10" x14ac:dyDescent="0.3">
      <c r="G602">
        <f>both!N610</f>
        <v>0.79347506008786173</v>
      </c>
      <c r="H602">
        <f>soc!N610</f>
        <v>2.676578148223558E-2</v>
      </c>
      <c r="I602">
        <f t="shared" si="18"/>
        <v>1590</v>
      </c>
      <c r="J602">
        <f t="shared" si="19"/>
        <v>542</v>
      </c>
    </row>
    <row r="603" spans="7:10" x14ac:dyDescent="0.3">
      <c r="G603">
        <f>both!N611</f>
        <v>0.17561757102018841</v>
      </c>
      <c r="H603">
        <f>soc!N611</f>
        <v>4.3863048268117273E-2</v>
      </c>
      <c r="I603">
        <f t="shared" si="18"/>
        <v>747</v>
      </c>
      <c r="J603">
        <f t="shared" si="19"/>
        <v>593</v>
      </c>
    </row>
    <row r="604" spans="7:10" x14ac:dyDescent="0.3">
      <c r="G604">
        <f>both!N612</f>
        <v>0.83490822866716419</v>
      </c>
      <c r="H604">
        <f>soc!N612</f>
        <v>0.61618910272828042</v>
      </c>
      <c r="I604">
        <f t="shared" si="18"/>
        <v>1682</v>
      </c>
      <c r="J604">
        <f t="shared" si="19"/>
        <v>1282</v>
      </c>
    </row>
    <row r="605" spans="7:10" x14ac:dyDescent="0.3">
      <c r="G605">
        <f>both!N613</f>
        <v>0.50514523041989978</v>
      </c>
      <c r="H605">
        <f>soc!N613</f>
        <v>2.5594508561414637E-3</v>
      </c>
      <c r="I605">
        <f t="shared" si="18"/>
        <v>1101</v>
      </c>
      <c r="J605">
        <f t="shared" si="19"/>
        <v>270</v>
      </c>
    </row>
    <row r="606" spans="7:10" x14ac:dyDescent="0.3">
      <c r="G606">
        <f>both!N614</f>
        <v>0.32710394886082278</v>
      </c>
      <c r="H606">
        <f>soc!N614</f>
        <v>2.1898400346456931E-2</v>
      </c>
      <c r="I606">
        <f t="shared" si="18"/>
        <v>879</v>
      </c>
      <c r="J606">
        <f t="shared" si="19"/>
        <v>517</v>
      </c>
    </row>
    <row r="607" spans="7:10" x14ac:dyDescent="0.3">
      <c r="G607">
        <f>both!N615</f>
        <v>0.92221814501008093</v>
      </c>
      <c r="H607">
        <f>soc!N615</f>
        <v>0.35090883400064382</v>
      </c>
      <c r="I607">
        <f t="shared" si="18"/>
        <v>1871</v>
      </c>
      <c r="J607">
        <f t="shared" si="19"/>
        <v>909</v>
      </c>
    </row>
    <row r="608" spans="7:10" x14ac:dyDescent="0.3">
      <c r="G608">
        <f>both!N616</f>
        <v>0.79704619870655402</v>
      </c>
      <c r="H608">
        <f>soc!N616</f>
        <v>4.3906639743267577E-2</v>
      </c>
      <c r="I608">
        <f t="shared" si="18"/>
        <v>1598</v>
      </c>
      <c r="J608">
        <f t="shared" si="19"/>
        <v>594</v>
      </c>
    </row>
    <row r="609" spans="7:10" x14ac:dyDescent="0.3">
      <c r="G609">
        <f>both!N617</f>
        <v>0.9161310994947065</v>
      </c>
      <c r="H609">
        <f>soc!N617</f>
        <v>3.4848368702910947E-3</v>
      </c>
      <c r="I609">
        <f t="shared" si="18"/>
        <v>1856</v>
      </c>
      <c r="J609">
        <f t="shared" si="19"/>
        <v>296</v>
      </c>
    </row>
    <row r="610" spans="7:10" x14ac:dyDescent="0.3">
      <c r="G610">
        <f>both!N618</f>
        <v>0.50427213770646928</v>
      </c>
      <c r="H610">
        <f>soc!N618</f>
        <v>1.6440150196477449E-2</v>
      </c>
      <c r="I610">
        <f t="shared" si="18"/>
        <v>1099</v>
      </c>
      <c r="J610">
        <f t="shared" si="19"/>
        <v>477</v>
      </c>
    </row>
    <row r="611" spans="7:10" x14ac:dyDescent="0.3">
      <c r="G611">
        <f>both!N619</f>
        <v>0.83722029814708654</v>
      </c>
      <c r="H611">
        <f>soc!N619</f>
        <v>7.3908134884541029E-4</v>
      </c>
      <c r="I611">
        <f t="shared" si="18"/>
        <v>1686</v>
      </c>
      <c r="J611">
        <f t="shared" si="19"/>
        <v>152</v>
      </c>
    </row>
    <row r="612" spans="7:10" x14ac:dyDescent="0.3">
      <c r="G612">
        <f>both!N620</f>
        <v>0.74074755389559455</v>
      </c>
      <c r="H612">
        <f>soc!N620</f>
        <v>0.13722786571600129</v>
      </c>
      <c r="I612">
        <f t="shared" si="18"/>
        <v>1497</v>
      </c>
      <c r="J612">
        <f t="shared" si="19"/>
        <v>721</v>
      </c>
    </row>
    <row r="613" spans="7:10" x14ac:dyDescent="0.3">
      <c r="G613">
        <f>both!N621</f>
        <v>0.50332374409934588</v>
      </c>
      <c r="H613">
        <f>soc!N621</f>
        <v>0.69793417565723903</v>
      </c>
      <c r="I613">
        <f t="shared" si="18"/>
        <v>1097</v>
      </c>
      <c r="J613">
        <f t="shared" si="19"/>
        <v>1404</v>
      </c>
    </row>
    <row r="614" spans="7:10" x14ac:dyDescent="0.3">
      <c r="G614">
        <f>both!N622</f>
        <v>0.35148510175163228</v>
      </c>
      <c r="H614">
        <f>soc!N622</f>
        <v>1.9689646462741137E-4</v>
      </c>
      <c r="I614">
        <f t="shared" si="18"/>
        <v>913</v>
      </c>
      <c r="J614">
        <f t="shared" si="19"/>
        <v>83</v>
      </c>
    </row>
    <row r="615" spans="7:10" x14ac:dyDescent="0.3">
      <c r="G615">
        <f>both!N623</f>
        <v>0.74260856342564696</v>
      </c>
      <c r="H615">
        <f>soc!N623</f>
        <v>1.9221408529333732E-2</v>
      </c>
      <c r="I615">
        <f t="shared" si="18"/>
        <v>1499</v>
      </c>
      <c r="J615">
        <f t="shared" si="19"/>
        <v>503</v>
      </c>
    </row>
    <row r="616" spans="7:10" x14ac:dyDescent="0.3">
      <c r="G616">
        <f>both!N624</f>
        <v>0.94437757033086978</v>
      </c>
      <c r="H616">
        <f>soc!N624</f>
        <v>2.5203321460493576E-3</v>
      </c>
      <c r="I616">
        <f t="shared" si="18"/>
        <v>1910</v>
      </c>
      <c r="J616">
        <f t="shared" si="19"/>
        <v>268</v>
      </c>
    </row>
    <row r="617" spans="7:10" x14ac:dyDescent="0.3">
      <c r="G617">
        <f>both!N625</f>
        <v>0.85805732074150431</v>
      </c>
      <c r="H617">
        <f>soc!N625</f>
        <v>0.78623474823395512</v>
      </c>
      <c r="I617">
        <f t="shared" si="18"/>
        <v>1727</v>
      </c>
      <c r="J617">
        <f t="shared" si="19"/>
        <v>1578</v>
      </c>
    </row>
    <row r="618" spans="7:10" x14ac:dyDescent="0.3">
      <c r="G618">
        <f>both!N626</f>
        <v>0.68152678711872183</v>
      </c>
      <c r="H618">
        <f>soc!N626</f>
        <v>0.14649499925886564</v>
      </c>
      <c r="I618">
        <f t="shared" si="18"/>
        <v>1375</v>
      </c>
      <c r="J618">
        <f t="shared" si="19"/>
        <v>726</v>
      </c>
    </row>
    <row r="619" spans="7:10" x14ac:dyDescent="0.3">
      <c r="G619">
        <f>both!N627</f>
        <v>0.60485857739879068</v>
      </c>
      <c r="H619">
        <f>soc!N627</f>
        <v>3.6911808299952584E-3</v>
      </c>
      <c r="I619">
        <f t="shared" si="18"/>
        <v>1264</v>
      </c>
      <c r="J619">
        <f t="shared" si="19"/>
        <v>305</v>
      </c>
    </row>
    <row r="620" spans="7:10" x14ac:dyDescent="0.3">
      <c r="G620">
        <f>both!N628</f>
        <v>0.46380256096611217</v>
      </c>
      <c r="H620">
        <f>soc!N628</f>
        <v>7.9945949641874361E-2</v>
      </c>
      <c r="I620">
        <f t="shared" si="18"/>
        <v>1050</v>
      </c>
      <c r="J620">
        <f t="shared" si="19"/>
        <v>661</v>
      </c>
    </row>
    <row r="621" spans="7:10" x14ac:dyDescent="0.3">
      <c r="G621">
        <f>both!N629</f>
        <v>0.61314383434394137</v>
      </c>
      <c r="H621">
        <f>soc!N629</f>
        <v>0.13606515859627816</v>
      </c>
      <c r="I621">
        <f t="shared" si="18"/>
        <v>1276</v>
      </c>
      <c r="J621">
        <f t="shared" si="19"/>
        <v>719</v>
      </c>
    </row>
    <row r="622" spans="7:10" x14ac:dyDescent="0.3">
      <c r="G622">
        <f>both!N630</f>
        <v>0.67506693396697748</v>
      </c>
      <c r="H622">
        <f>soc!N630</f>
        <v>0.48948702900596919</v>
      </c>
      <c r="I622">
        <f t="shared" si="18"/>
        <v>1369</v>
      </c>
      <c r="J622">
        <f t="shared" si="19"/>
        <v>1081</v>
      </c>
    </row>
    <row r="623" spans="7:10" x14ac:dyDescent="0.3">
      <c r="G623">
        <f>both!N631</f>
        <v>0.27370111486101245</v>
      </c>
      <c r="H623">
        <f>soc!N631</f>
        <v>4.8493042937537131E-2</v>
      </c>
      <c r="I623">
        <f t="shared" si="18"/>
        <v>827</v>
      </c>
      <c r="J623">
        <f t="shared" si="19"/>
        <v>609</v>
      </c>
    </row>
    <row r="624" spans="7:10" x14ac:dyDescent="0.3">
      <c r="G624">
        <f>both!N632</f>
        <v>0.81294260442600907</v>
      </c>
      <c r="H624">
        <f>soc!N632</f>
        <v>3.0422616298534152E-3</v>
      </c>
      <c r="I624">
        <f t="shared" si="18"/>
        <v>1627</v>
      </c>
      <c r="J624">
        <f t="shared" si="19"/>
        <v>286</v>
      </c>
    </row>
    <row r="625" spans="7:10" x14ac:dyDescent="0.3">
      <c r="G625">
        <f>both!N633</f>
        <v>0.72966120155260161</v>
      </c>
      <c r="H625">
        <f>soc!N633</f>
        <v>0.38392624716866569</v>
      </c>
      <c r="I625">
        <f t="shared" si="18"/>
        <v>1471</v>
      </c>
      <c r="J625">
        <f t="shared" si="19"/>
        <v>951</v>
      </c>
    </row>
    <row r="626" spans="7:10" x14ac:dyDescent="0.3">
      <c r="G626">
        <f>both!N634</f>
        <v>0.38506756399863096</v>
      </c>
      <c r="H626">
        <f>soc!N634</f>
        <v>3.8848786402199E-2</v>
      </c>
      <c r="I626">
        <f t="shared" si="18"/>
        <v>955</v>
      </c>
      <c r="J626">
        <f t="shared" si="19"/>
        <v>579</v>
      </c>
    </row>
    <row r="627" spans="7:10" x14ac:dyDescent="0.3">
      <c r="G627">
        <f>both!N635</f>
        <v>0.84417658587512823</v>
      </c>
      <c r="H627">
        <f>soc!N635</f>
        <v>0.21394881547385092</v>
      </c>
      <c r="I627">
        <f t="shared" si="18"/>
        <v>1702</v>
      </c>
      <c r="J627">
        <f t="shared" si="19"/>
        <v>781</v>
      </c>
    </row>
    <row r="628" spans="7:10" x14ac:dyDescent="0.3">
      <c r="G628">
        <f>both!N636</f>
        <v>0.90915721465897226</v>
      </c>
      <c r="H628">
        <f>soc!N636</f>
        <v>0.93564910826328396</v>
      </c>
      <c r="I628">
        <f t="shared" si="18"/>
        <v>1845</v>
      </c>
      <c r="J628">
        <f t="shared" si="19"/>
        <v>1895</v>
      </c>
    </row>
    <row r="629" spans="7:10" x14ac:dyDescent="0.3">
      <c r="G629">
        <f>both!N637</f>
        <v>0.73753535455459496</v>
      </c>
      <c r="H629">
        <f>soc!N637</f>
        <v>9.1377401770374837E-3</v>
      </c>
      <c r="I629">
        <f t="shared" si="18"/>
        <v>1488</v>
      </c>
      <c r="J629">
        <f t="shared" si="19"/>
        <v>420</v>
      </c>
    </row>
    <row r="630" spans="7:10" x14ac:dyDescent="0.3">
      <c r="G630">
        <f>both!N638</f>
        <v>0.15898104143119879</v>
      </c>
      <c r="H630">
        <f>soc!N638</f>
        <v>2.5339024094531162E-6</v>
      </c>
      <c r="I630">
        <f t="shared" si="18"/>
        <v>733</v>
      </c>
      <c r="J630">
        <f t="shared" si="19"/>
        <v>2</v>
      </c>
    </row>
    <row r="631" spans="7:10" x14ac:dyDescent="0.3">
      <c r="G631">
        <f>both!N639</f>
        <v>0.5058290483495872</v>
      </c>
      <c r="H631">
        <f>soc!N639</f>
        <v>1.8010400612533461E-2</v>
      </c>
      <c r="I631">
        <f t="shared" si="18"/>
        <v>1104</v>
      </c>
      <c r="J631">
        <f t="shared" si="19"/>
        <v>493</v>
      </c>
    </row>
    <row r="632" spans="7:10" x14ac:dyDescent="0.3">
      <c r="G632">
        <f>both!N640</f>
        <v>0.44492498535320202</v>
      </c>
      <c r="H632">
        <f>soc!N640</f>
        <v>0.24984975678197702</v>
      </c>
      <c r="I632">
        <f t="shared" si="18"/>
        <v>1022</v>
      </c>
      <c r="J632">
        <f t="shared" si="19"/>
        <v>805</v>
      </c>
    </row>
    <row r="633" spans="7:10" x14ac:dyDescent="0.3">
      <c r="G633">
        <f>both!N641</f>
        <v>0.8578000422150629</v>
      </c>
      <c r="H633">
        <f>soc!N641</f>
        <v>1.021052718025535E-4</v>
      </c>
      <c r="I633">
        <f t="shared" si="18"/>
        <v>1726</v>
      </c>
      <c r="J633">
        <f t="shared" si="19"/>
        <v>54</v>
      </c>
    </row>
    <row r="634" spans="7:10" x14ac:dyDescent="0.3">
      <c r="G634">
        <f>both!N642</f>
        <v>0.87033631640108333</v>
      </c>
      <c r="H634">
        <f>soc!N642</f>
        <v>0.42528565741447433</v>
      </c>
      <c r="I634">
        <f t="shared" si="18"/>
        <v>1769</v>
      </c>
      <c r="J634">
        <f t="shared" si="19"/>
        <v>1004</v>
      </c>
    </row>
    <row r="635" spans="7:10" x14ac:dyDescent="0.3">
      <c r="G635">
        <f>both!N643</f>
        <v>0.56027086122365688</v>
      </c>
      <c r="H635">
        <f>soc!N643</f>
        <v>5.376531424908889E-4</v>
      </c>
      <c r="I635">
        <f t="shared" si="18"/>
        <v>1192</v>
      </c>
      <c r="J635">
        <f t="shared" si="19"/>
        <v>132</v>
      </c>
    </row>
    <row r="636" spans="7:10" x14ac:dyDescent="0.3">
      <c r="G636">
        <f>both!N644</f>
        <v>0.20539582806973061</v>
      </c>
      <c r="H636">
        <f>soc!N644</f>
        <v>0.24931491962226776</v>
      </c>
      <c r="I636">
        <f t="shared" si="18"/>
        <v>777</v>
      </c>
      <c r="J636">
        <f t="shared" si="19"/>
        <v>804</v>
      </c>
    </row>
    <row r="637" spans="7:10" x14ac:dyDescent="0.3">
      <c r="G637">
        <f>both!N645</f>
        <v>0.88390777604484549</v>
      </c>
      <c r="H637">
        <f>soc!N645</f>
        <v>1.7864519725883175E-2</v>
      </c>
      <c r="I637">
        <f t="shared" si="18"/>
        <v>1797</v>
      </c>
      <c r="J637">
        <f t="shared" si="19"/>
        <v>492</v>
      </c>
    </row>
    <row r="638" spans="7:10" x14ac:dyDescent="0.3">
      <c r="G638">
        <f>both!N646</f>
        <v>0.53207139543551174</v>
      </c>
      <c r="H638">
        <f>soc!N646</f>
        <v>0.15624762851079216</v>
      </c>
      <c r="I638">
        <f t="shared" si="18"/>
        <v>1149</v>
      </c>
      <c r="J638">
        <f t="shared" si="19"/>
        <v>731</v>
      </c>
    </row>
    <row r="639" spans="7:10" x14ac:dyDescent="0.3">
      <c r="G639">
        <f>both!N647</f>
        <v>0.46283942795584349</v>
      </c>
      <c r="H639">
        <f>soc!N647</f>
        <v>0.44884151136212858</v>
      </c>
      <c r="I639">
        <f t="shared" si="18"/>
        <v>1049</v>
      </c>
      <c r="J639">
        <f t="shared" si="19"/>
        <v>1026</v>
      </c>
    </row>
    <row r="640" spans="7:10" x14ac:dyDescent="0.3">
      <c r="G640">
        <f>both!N648</f>
        <v>0.35103480202860493</v>
      </c>
      <c r="H640">
        <f>soc!N648</f>
        <v>0.53940070791231287</v>
      </c>
      <c r="I640">
        <f t="shared" si="18"/>
        <v>910</v>
      </c>
      <c r="J640">
        <f t="shared" si="19"/>
        <v>1158</v>
      </c>
    </row>
    <row r="641" spans="7:10" x14ac:dyDescent="0.3">
      <c r="G641">
        <f>both!N649</f>
        <v>0.76905549856856603</v>
      </c>
      <c r="H641">
        <f>soc!N649</f>
        <v>1.6455991282551968E-2</v>
      </c>
      <c r="I641">
        <f t="shared" si="18"/>
        <v>1556</v>
      </c>
      <c r="J641">
        <f t="shared" si="19"/>
        <v>478</v>
      </c>
    </row>
    <row r="642" spans="7:10" x14ac:dyDescent="0.3">
      <c r="G642">
        <f>both!N650</f>
        <v>0.58233079706751012</v>
      </c>
      <c r="H642">
        <f>soc!N650</f>
        <v>5.0129740339765957E-3</v>
      </c>
      <c r="I642">
        <f t="shared" si="18"/>
        <v>1222</v>
      </c>
      <c r="J642">
        <f t="shared" si="19"/>
        <v>350</v>
      </c>
    </row>
    <row r="643" spans="7:10" x14ac:dyDescent="0.3">
      <c r="G643">
        <f>both!N651</f>
        <v>0.65224979388152704</v>
      </c>
      <c r="H643">
        <f>soc!N651</f>
        <v>0.62476070843699638</v>
      </c>
      <c r="I643">
        <f t="shared" si="18"/>
        <v>1331</v>
      </c>
      <c r="J643">
        <f t="shared" si="19"/>
        <v>1289</v>
      </c>
    </row>
    <row r="644" spans="7:10" x14ac:dyDescent="0.3">
      <c r="G644">
        <f>both!N652</f>
        <v>0.52838680055722287</v>
      </c>
      <c r="H644">
        <f>soc!N652</f>
        <v>4.2415657932226994E-3</v>
      </c>
      <c r="I644">
        <f t="shared" si="18"/>
        <v>1142</v>
      </c>
      <c r="J644">
        <f t="shared" si="19"/>
        <v>325</v>
      </c>
    </row>
    <row r="645" spans="7:10" x14ac:dyDescent="0.3">
      <c r="G645">
        <f>both!N653</f>
        <v>0.88384838504938368</v>
      </c>
      <c r="H645">
        <f>soc!N653</f>
        <v>1.0316718981162909E-2</v>
      </c>
      <c r="I645">
        <f t="shared" ref="I645:I708" si="20">RANK(G645,$G$4:$H$1004,1) + (COUNTIF($G$4:$H$1004,G645)-1)/2</f>
        <v>1796</v>
      </c>
      <c r="J645">
        <f t="shared" ref="J645:J708" si="21">RANK(H645,$G$4:$H$1004,1) + (COUNTIF($G$4:$H$1004,H645)-1)/2</f>
        <v>429</v>
      </c>
    </row>
    <row r="646" spans="7:10" x14ac:dyDescent="0.3">
      <c r="G646">
        <f>both!N654</f>
        <v>0.79037203393398014</v>
      </c>
      <c r="H646">
        <f>soc!N654</f>
        <v>8.9399899849856111E-3</v>
      </c>
      <c r="I646">
        <f t="shared" si="20"/>
        <v>1583</v>
      </c>
      <c r="J646">
        <f t="shared" si="21"/>
        <v>414</v>
      </c>
    </row>
    <row r="647" spans="7:10" x14ac:dyDescent="0.3">
      <c r="G647">
        <f>both!N655</f>
        <v>0.37492038957856633</v>
      </c>
      <c r="H647">
        <f>soc!N655</f>
        <v>3.587075930326292E-3</v>
      </c>
      <c r="I647">
        <f t="shared" si="20"/>
        <v>941</v>
      </c>
      <c r="J647">
        <f t="shared" si="21"/>
        <v>300</v>
      </c>
    </row>
    <row r="648" spans="7:10" x14ac:dyDescent="0.3">
      <c r="G648">
        <f>both!N656</f>
        <v>0.37929645549301833</v>
      </c>
      <c r="H648">
        <f>soc!N656</f>
        <v>5.0534579392227518E-4</v>
      </c>
      <c r="I648">
        <f t="shared" si="20"/>
        <v>944</v>
      </c>
      <c r="J648">
        <f t="shared" si="21"/>
        <v>128</v>
      </c>
    </row>
    <row r="649" spans="7:10" x14ac:dyDescent="0.3">
      <c r="G649">
        <f>both!N657</f>
        <v>0.86374711151676187</v>
      </c>
      <c r="H649">
        <f>soc!N657</f>
        <v>0.32887210630684666</v>
      </c>
      <c r="I649">
        <f t="shared" si="20"/>
        <v>1747</v>
      </c>
      <c r="J649">
        <f t="shared" si="21"/>
        <v>880</v>
      </c>
    </row>
    <row r="650" spans="7:10" x14ac:dyDescent="0.3">
      <c r="G650">
        <f>both!N658</f>
        <v>0.87556623844076475</v>
      </c>
      <c r="H650">
        <f>soc!N658</f>
        <v>8.3315147965225972E-4</v>
      </c>
      <c r="I650">
        <f t="shared" si="20"/>
        <v>1777</v>
      </c>
      <c r="J650">
        <f t="shared" si="21"/>
        <v>159</v>
      </c>
    </row>
    <row r="651" spans="7:10" x14ac:dyDescent="0.3">
      <c r="G651">
        <f>both!N659</f>
        <v>0.60578037929707518</v>
      </c>
      <c r="H651">
        <f>soc!N659</f>
        <v>2.1211009521548718E-3</v>
      </c>
      <c r="I651">
        <f t="shared" si="20"/>
        <v>1266</v>
      </c>
      <c r="J651">
        <f t="shared" si="21"/>
        <v>255</v>
      </c>
    </row>
    <row r="652" spans="7:10" x14ac:dyDescent="0.3">
      <c r="G652">
        <f>both!N660</f>
        <v>0.91803575243091962</v>
      </c>
      <c r="H652">
        <f>soc!N660</f>
        <v>1.7226210323763563E-3</v>
      </c>
      <c r="I652">
        <f t="shared" si="20"/>
        <v>1861</v>
      </c>
      <c r="J652">
        <f t="shared" si="21"/>
        <v>230</v>
      </c>
    </row>
    <row r="653" spans="7:10" x14ac:dyDescent="0.3">
      <c r="G653">
        <f>both!N661</f>
        <v>0.68216536415442663</v>
      </c>
      <c r="H653">
        <f>soc!N661</f>
        <v>7.2022426205748127E-2</v>
      </c>
      <c r="I653">
        <f t="shared" si="20"/>
        <v>1379</v>
      </c>
      <c r="J653">
        <f t="shared" si="21"/>
        <v>654</v>
      </c>
    </row>
    <row r="654" spans="7:10" x14ac:dyDescent="0.3">
      <c r="G654">
        <f>both!N662</f>
        <v>0.93959500516423611</v>
      </c>
      <c r="H654">
        <f>soc!N662</f>
        <v>1.724680865555299E-3</v>
      </c>
      <c r="I654">
        <f t="shared" si="20"/>
        <v>1902</v>
      </c>
      <c r="J654">
        <f t="shared" si="21"/>
        <v>231</v>
      </c>
    </row>
    <row r="655" spans="7:10" x14ac:dyDescent="0.3">
      <c r="G655">
        <f>both!N663</f>
        <v>0.6350131626277522</v>
      </c>
      <c r="H655">
        <f>soc!N663</f>
        <v>1.4850298702436299E-3</v>
      </c>
      <c r="I655">
        <f t="shared" si="20"/>
        <v>1306</v>
      </c>
      <c r="J655">
        <f t="shared" si="21"/>
        <v>213</v>
      </c>
    </row>
    <row r="656" spans="7:10" x14ac:dyDescent="0.3">
      <c r="G656">
        <f>both!N664</f>
        <v>0.3143481020897359</v>
      </c>
      <c r="H656">
        <f>soc!N664</f>
        <v>0.25266877778194818</v>
      </c>
      <c r="I656">
        <f t="shared" si="20"/>
        <v>867</v>
      </c>
      <c r="J656">
        <f t="shared" si="21"/>
        <v>809</v>
      </c>
    </row>
    <row r="657" spans="7:10" x14ac:dyDescent="0.3">
      <c r="G657">
        <f>both!N665</f>
        <v>0.82941293070851363</v>
      </c>
      <c r="H657">
        <f>soc!N665</f>
        <v>4.756963592947667E-3</v>
      </c>
      <c r="I657">
        <f t="shared" si="20"/>
        <v>1665</v>
      </c>
      <c r="J657">
        <f t="shared" si="21"/>
        <v>336</v>
      </c>
    </row>
    <row r="658" spans="7:10" x14ac:dyDescent="0.3">
      <c r="G658">
        <f>both!N666</f>
        <v>0.55015307579105022</v>
      </c>
      <c r="H658">
        <f>soc!N666</f>
        <v>5.0712616754506182E-5</v>
      </c>
      <c r="I658">
        <f t="shared" si="20"/>
        <v>1176</v>
      </c>
      <c r="J658">
        <f t="shared" si="21"/>
        <v>31</v>
      </c>
    </row>
    <row r="659" spans="7:10" x14ac:dyDescent="0.3">
      <c r="G659">
        <f>both!N667</f>
        <v>0.81644530203296939</v>
      </c>
      <c r="H659">
        <f>soc!N667</f>
        <v>3.4454895256780041E-2</v>
      </c>
      <c r="I659">
        <f t="shared" si="20"/>
        <v>1637</v>
      </c>
      <c r="J659">
        <f t="shared" si="21"/>
        <v>570</v>
      </c>
    </row>
    <row r="660" spans="7:10" x14ac:dyDescent="0.3">
      <c r="G660">
        <f>both!N668</f>
        <v>0.49086183752550716</v>
      </c>
      <c r="H660">
        <f>soc!N668</f>
        <v>5.5508397049489034E-4</v>
      </c>
      <c r="I660">
        <f t="shared" si="20"/>
        <v>1082</v>
      </c>
      <c r="J660">
        <f t="shared" si="21"/>
        <v>136</v>
      </c>
    </row>
    <row r="661" spans="7:10" x14ac:dyDescent="0.3">
      <c r="G661">
        <f>both!N669</f>
        <v>0.46195952613075697</v>
      </c>
      <c r="H661">
        <f>soc!N669</f>
        <v>0.83988711806557492</v>
      </c>
      <c r="I661">
        <f t="shared" si="20"/>
        <v>1048</v>
      </c>
      <c r="J661">
        <f t="shared" si="21"/>
        <v>1690</v>
      </c>
    </row>
    <row r="662" spans="7:10" x14ac:dyDescent="0.3">
      <c r="G662">
        <f>both!N670</f>
        <v>0.47975940473143763</v>
      </c>
      <c r="H662">
        <f>soc!N670</f>
        <v>1.5432902202514946E-2</v>
      </c>
      <c r="I662">
        <f t="shared" si="20"/>
        <v>1066</v>
      </c>
      <c r="J662">
        <f t="shared" si="21"/>
        <v>472</v>
      </c>
    </row>
    <row r="663" spans="7:10" x14ac:dyDescent="0.3">
      <c r="G663">
        <f>both!N671</f>
        <v>0.49171025641843835</v>
      </c>
      <c r="H663">
        <f>soc!N671</f>
        <v>0.12460415913058619</v>
      </c>
      <c r="I663">
        <f t="shared" si="20"/>
        <v>1085</v>
      </c>
      <c r="J663">
        <f t="shared" si="21"/>
        <v>707</v>
      </c>
    </row>
    <row r="664" spans="7:10" x14ac:dyDescent="0.3">
      <c r="G664">
        <f>both!N672</f>
        <v>0.40005083282011433</v>
      </c>
      <c r="H664">
        <f>soc!N672</f>
        <v>4.41801239176495E-2</v>
      </c>
      <c r="I664">
        <f t="shared" si="20"/>
        <v>975</v>
      </c>
      <c r="J664">
        <f t="shared" si="21"/>
        <v>595</v>
      </c>
    </row>
    <row r="665" spans="7:10" x14ac:dyDescent="0.3">
      <c r="G665">
        <f>both!N673</f>
        <v>0.2245417192500489</v>
      </c>
      <c r="H665">
        <f>soc!N673</f>
        <v>1.0355027855882527E-2</v>
      </c>
      <c r="I665">
        <f t="shared" si="20"/>
        <v>786</v>
      </c>
      <c r="J665">
        <f t="shared" si="21"/>
        <v>430</v>
      </c>
    </row>
    <row r="666" spans="7:10" x14ac:dyDescent="0.3">
      <c r="G666">
        <f>both!N674</f>
        <v>0.84200999015223044</v>
      </c>
      <c r="H666">
        <f>soc!N674</f>
        <v>6.8494052646983203E-2</v>
      </c>
      <c r="I666">
        <f t="shared" si="20"/>
        <v>1697</v>
      </c>
      <c r="J666">
        <f t="shared" si="21"/>
        <v>648</v>
      </c>
    </row>
    <row r="667" spans="7:10" x14ac:dyDescent="0.3">
      <c r="G667">
        <f>both!N675</f>
        <v>0.9056105138986158</v>
      </c>
      <c r="H667">
        <f>soc!N675</f>
        <v>3.1578987857702238E-3</v>
      </c>
      <c r="I667">
        <f t="shared" si="20"/>
        <v>1839</v>
      </c>
      <c r="J667">
        <f t="shared" si="21"/>
        <v>291</v>
      </c>
    </row>
    <row r="668" spans="7:10" x14ac:dyDescent="0.3">
      <c r="G668">
        <f>both!N676</f>
        <v>0.52732267714567027</v>
      </c>
      <c r="H668">
        <f>soc!N676</f>
        <v>8.4194960499386407E-4</v>
      </c>
      <c r="I668">
        <f t="shared" si="20"/>
        <v>1140</v>
      </c>
      <c r="J668">
        <f t="shared" si="21"/>
        <v>160</v>
      </c>
    </row>
    <row r="669" spans="7:10" x14ac:dyDescent="0.3">
      <c r="G669">
        <f>both!N677</f>
        <v>0.7458009782552194</v>
      </c>
      <c r="H669">
        <f>soc!N677</f>
        <v>7.2205040305785027E-5</v>
      </c>
      <c r="I669">
        <f t="shared" si="20"/>
        <v>1507</v>
      </c>
      <c r="J669">
        <f t="shared" si="21"/>
        <v>41</v>
      </c>
    </row>
    <row r="670" spans="7:10" x14ac:dyDescent="0.3">
      <c r="G670">
        <f>both!N678</f>
        <v>0.59706064593073482</v>
      </c>
      <c r="H670">
        <f>soc!N678</f>
        <v>6.5159557371519692E-3</v>
      </c>
      <c r="I670">
        <f t="shared" si="20"/>
        <v>1254</v>
      </c>
      <c r="J670">
        <f t="shared" si="21"/>
        <v>375</v>
      </c>
    </row>
    <row r="671" spans="7:10" x14ac:dyDescent="0.3">
      <c r="G671">
        <f>both!N679</f>
        <v>0.75087759785352903</v>
      </c>
      <c r="H671">
        <f>soc!N679</f>
        <v>0.14457949998283337</v>
      </c>
      <c r="I671">
        <f t="shared" si="20"/>
        <v>1514</v>
      </c>
      <c r="J671">
        <f t="shared" si="21"/>
        <v>725</v>
      </c>
    </row>
    <row r="672" spans="7:10" x14ac:dyDescent="0.3">
      <c r="G672">
        <f>both!N680</f>
        <v>0.94736636628217674</v>
      </c>
      <c r="H672">
        <f>soc!N680</f>
        <v>4.896448143246356E-3</v>
      </c>
      <c r="I672">
        <f t="shared" si="20"/>
        <v>1917</v>
      </c>
      <c r="J672">
        <f t="shared" si="21"/>
        <v>345</v>
      </c>
    </row>
    <row r="673" spans="7:10" x14ac:dyDescent="0.3">
      <c r="G673">
        <f>both!N681</f>
        <v>0.56727548873367861</v>
      </c>
      <c r="H673">
        <f>soc!N681</f>
        <v>2.7887964888389984E-2</v>
      </c>
      <c r="I673">
        <f t="shared" si="20"/>
        <v>1202</v>
      </c>
      <c r="J673">
        <f t="shared" si="21"/>
        <v>545</v>
      </c>
    </row>
    <row r="674" spans="7:10" x14ac:dyDescent="0.3">
      <c r="G674">
        <f>both!N682</f>
        <v>0.31035294666613683</v>
      </c>
      <c r="H674">
        <f>soc!N682</f>
        <v>1.902425204722857E-2</v>
      </c>
      <c r="I674">
        <f t="shared" si="20"/>
        <v>862</v>
      </c>
      <c r="J674">
        <f t="shared" si="21"/>
        <v>502</v>
      </c>
    </row>
    <row r="675" spans="7:10" x14ac:dyDescent="0.3">
      <c r="G675">
        <f>both!N683</f>
        <v>0.48372213737460995</v>
      </c>
      <c r="H675">
        <f>soc!N683</f>
        <v>1.383627657154379E-2</v>
      </c>
      <c r="I675">
        <f t="shared" si="20"/>
        <v>1072</v>
      </c>
      <c r="J675">
        <f t="shared" si="21"/>
        <v>459</v>
      </c>
    </row>
    <row r="676" spans="7:10" x14ac:dyDescent="0.3">
      <c r="G676">
        <f>both!N684</f>
        <v>0.4323648816087392</v>
      </c>
      <c r="H676">
        <f>soc!N684</f>
        <v>3.4078095631874888E-2</v>
      </c>
      <c r="I676">
        <f t="shared" si="20"/>
        <v>1016</v>
      </c>
      <c r="J676">
        <f t="shared" si="21"/>
        <v>569</v>
      </c>
    </row>
    <row r="677" spans="7:10" x14ac:dyDescent="0.3">
      <c r="G677">
        <f>both!N685</f>
        <v>0.84850636122886014</v>
      </c>
      <c r="H677">
        <f>soc!N685</f>
        <v>8.5880387157447492E-4</v>
      </c>
      <c r="I677">
        <f t="shared" si="20"/>
        <v>1711</v>
      </c>
      <c r="J677">
        <f t="shared" si="21"/>
        <v>163</v>
      </c>
    </row>
    <row r="678" spans="7:10" x14ac:dyDescent="0.3">
      <c r="G678">
        <f>both!N686</f>
        <v>0.8414707386125756</v>
      </c>
      <c r="H678">
        <f>soc!N686</f>
        <v>7.1911016078141385E-3</v>
      </c>
      <c r="I678">
        <f t="shared" si="20"/>
        <v>1695</v>
      </c>
      <c r="J678">
        <f t="shared" si="21"/>
        <v>382</v>
      </c>
    </row>
    <row r="679" spans="7:10" x14ac:dyDescent="0.3">
      <c r="G679">
        <f>both!N687</f>
        <v>0.5904931242849254</v>
      </c>
      <c r="H679">
        <f>soc!N687</f>
        <v>5.8830008798430554E-3</v>
      </c>
      <c r="I679">
        <f t="shared" si="20"/>
        <v>1242</v>
      </c>
      <c r="J679">
        <f t="shared" si="21"/>
        <v>365</v>
      </c>
    </row>
    <row r="680" spans="7:10" x14ac:dyDescent="0.3">
      <c r="G680">
        <f>both!N688</f>
        <v>0.47340063275172206</v>
      </c>
      <c r="H680">
        <f>soc!N688</f>
        <v>0.33738774348580958</v>
      </c>
      <c r="I680">
        <f t="shared" si="20"/>
        <v>1063</v>
      </c>
      <c r="J680">
        <f t="shared" si="21"/>
        <v>893</v>
      </c>
    </row>
    <row r="681" spans="7:10" x14ac:dyDescent="0.3">
      <c r="G681">
        <f>both!N689</f>
        <v>0.65975833845993925</v>
      </c>
      <c r="H681">
        <f>soc!N689</f>
        <v>0.99999809039615017</v>
      </c>
      <c r="I681">
        <f t="shared" si="20"/>
        <v>1343</v>
      </c>
      <c r="J681">
        <f t="shared" si="21"/>
        <v>2000</v>
      </c>
    </row>
    <row r="682" spans="7:10" x14ac:dyDescent="0.3">
      <c r="G682">
        <f>both!N690</f>
        <v>0.77295810115555708</v>
      </c>
      <c r="H682">
        <f>soc!N690</f>
        <v>2.7469876714636567E-4</v>
      </c>
      <c r="I682">
        <f t="shared" si="20"/>
        <v>1561</v>
      </c>
      <c r="J682">
        <f t="shared" si="21"/>
        <v>94</v>
      </c>
    </row>
    <row r="683" spans="7:10" x14ac:dyDescent="0.3">
      <c r="G683">
        <f>both!N691</f>
        <v>0.90246533967633757</v>
      </c>
      <c r="H683">
        <f>soc!N691</f>
        <v>2.7553551641849996E-2</v>
      </c>
      <c r="I683">
        <f t="shared" si="20"/>
        <v>1832</v>
      </c>
      <c r="J683">
        <f t="shared" si="21"/>
        <v>544</v>
      </c>
    </row>
    <row r="684" spans="7:10" x14ac:dyDescent="0.3">
      <c r="G684">
        <f>both!N692</f>
        <v>0.36256202396406656</v>
      </c>
      <c r="H684">
        <f>soc!N692</f>
        <v>0.30819879899824615</v>
      </c>
      <c r="I684">
        <f t="shared" si="20"/>
        <v>925</v>
      </c>
      <c r="J684">
        <f t="shared" si="21"/>
        <v>858</v>
      </c>
    </row>
    <row r="685" spans="7:10" x14ac:dyDescent="0.3">
      <c r="G685">
        <f>both!N693</f>
        <v>0.81645649886889138</v>
      </c>
      <c r="H685">
        <f>soc!N693</f>
        <v>7.3797814447663221E-3</v>
      </c>
      <c r="I685">
        <f t="shared" si="20"/>
        <v>1638</v>
      </c>
      <c r="J685">
        <f t="shared" si="21"/>
        <v>384</v>
      </c>
    </row>
    <row r="686" spans="7:10" x14ac:dyDescent="0.3">
      <c r="G686">
        <f>both!N694</f>
        <v>0.878288171934274</v>
      </c>
      <c r="H686">
        <f>soc!N694</f>
        <v>1.7573941496655616E-4</v>
      </c>
      <c r="I686">
        <f t="shared" si="20"/>
        <v>1783</v>
      </c>
      <c r="J686">
        <f t="shared" si="21"/>
        <v>71</v>
      </c>
    </row>
    <row r="687" spans="7:10" x14ac:dyDescent="0.3">
      <c r="G687">
        <f>both!N695</f>
        <v>0.91790452848248849</v>
      </c>
      <c r="H687">
        <f>soc!N695</f>
        <v>4.4361180556176813E-2</v>
      </c>
      <c r="I687">
        <f t="shared" si="20"/>
        <v>1860</v>
      </c>
      <c r="J687">
        <f t="shared" si="21"/>
        <v>596</v>
      </c>
    </row>
    <row r="688" spans="7:10" x14ac:dyDescent="0.3">
      <c r="G688">
        <f>both!N696</f>
        <v>0.54535888489291273</v>
      </c>
      <c r="H688">
        <f>soc!N696</f>
        <v>3.7331070947163564E-2</v>
      </c>
      <c r="I688">
        <f t="shared" si="20"/>
        <v>1167</v>
      </c>
      <c r="J688">
        <f t="shared" si="21"/>
        <v>575</v>
      </c>
    </row>
    <row r="689" spans="7:10" x14ac:dyDescent="0.3">
      <c r="G689">
        <f>both!N697</f>
        <v>0.80148221018033028</v>
      </c>
      <c r="H689">
        <f>soc!N697</f>
        <v>0.95390557144342047</v>
      </c>
      <c r="I689">
        <f t="shared" si="20"/>
        <v>1609</v>
      </c>
      <c r="J689">
        <f t="shared" si="21"/>
        <v>1932</v>
      </c>
    </row>
    <row r="690" spans="7:10" x14ac:dyDescent="0.3">
      <c r="G690">
        <f>both!N698</f>
        <v>0.89131898424765632</v>
      </c>
      <c r="H690">
        <f>soc!N698</f>
        <v>7.3676172432067437E-3</v>
      </c>
      <c r="I690">
        <f t="shared" si="20"/>
        <v>1811</v>
      </c>
      <c r="J690">
        <f t="shared" si="21"/>
        <v>383</v>
      </c>
    </row>
    <row r="691" spans="7:10" x14ac:dyDescent="0.3">
      <c r="G691">
        <f>both!N699</f>
        <v>0.43053159971959221</v>
      </c>
      <c r="H691">
        <f>soc!N699</f>
        <v>1.766688284909942E-3</v>
      </c>
      <c r="I691">
        <f t="shared" si="20"/>
        <v>1011</v>
      </c>
      <c r="J691">
        <f t="shared" si="21"/>
        <v>234</v>
      </c>
    </row>
    <row r="692" spans="7:10" x14ac:dyDescent="0.3">
      <c r="G692">
        <f>both!N700</f>
        <v>0.86514124075625209</v>
      </c>
      <c r="H692">
        <f>soc!N700</f>
        <v>3.4326836452310172E-3</v>
      </c>
      <c r="I692">
        <f t="shared" si="20"/>
        <v>1754</v>
      </c>
      <c r="J692">
        <f t="shared" si="21"/>
        <v>295</v>
      </c>
    </row>
    <row r="693" spans="7:10" x14ac:dyDescent="0.3">
      <c r="G693">
        <f>both!N701</f>
        <v>0.84535886477232614</v>
      </c>
      <c r="H693">
        <f>soc!N701</f>
        <v>1.0068986100108732E-4</v>
      </c>
      <c r="I693">
        <f t="shared" si="20"/>
        <v>1707</v>
      </c>
      <c r="J693">
        <f t="shared" si="21"/>
        <v>53</v>
      </c>
    </row>
    <row r="694" spans="7:10" x14ac:dyDescent="0.3">
      <c r="G694">
        <f>both!N702</f>
        <v>0.43011816166246369</v>
      </c>
      <c r="H694">
        <f>soc!N702</f>
        <v>0.18078795395090619</v>
      </c>
      <c r="I694">
        <f t="shared" si="20"/>
        <v>1010</v>
      </c>
      <c r="J694">
        <f t="shared" si="21"/>
        <v>754</v>
      </c>
    </row>
    <row r="695" spans="7:10" x14ac:dyDescent="0.3">
      <c r="G695">
        <f>both!N703</f>
        <v>0.32894901531197401</v>
      </c>
      <c r="H695">
        <f>soc!N703</f>
        <v>5.4035390921867987E-4</v>
      </c>
      <c r="I695">
        <f t="shared" si="20"/>
        <v>881</v>
      </c>
      <c r="J695">
        <f t="shared" si="21"/>
        <v>133</v>
      </c>
    </row>
    <row r="696" spans="7:10" x14ac:dyDescent="0.3">
      <c r="G696">
        <f>both!N704</f>
        <v>0.49100068820289561</v>
      </c>
      <c r="H696">
        <f>soc!N704</f>
        <v>0.99999999985107324</v>
      </c>
      <c r="I696">
        <f t="shared" si="20"/>
        <v>1083</v>
      </c>
      <c r="J696">
        <f t="shared" si="21"/>
        <v>2001</v>
      </c>
    </row>
    <row r="697" spans="7:10" x14ac:dyDescent="0.3">
      <c r="G697">
        <f>both!N705</f>
        <v>0.83100178839270478</v>
      </c>
      <c r="H697">
        <f>soc!N705</f>
        <v>1.5179530502747313E-3</v>
      </c>
      <c r="I697">
        <f t="shared" si="20"/>
        <v>1670</v>
      </c>
      <c r="J697">
        <f t="shared" si="21"/>
        <v>216</v>
      </c>
    </row>
    <row r="698" spans="7:10" x14ac:dyDescent="0.3">
      <c r="G698">
        <f>both!N706</f>
        <v>0.93369726293797661</v>
      </c>
      <c r="H698">
        <f>soc!N706</f>
        <v>0.99904198812010192</v>
      </c>
      <c r="I698">
        <f t="shared" si="20"/>
        <v>1891</v>
      </c>
      <c r="J698">
        <f t="shared" si="21"/>
        <v>1988</v>
      </c>
    </row>
    <row r="699" spans="7:10" x14ac:dyDescent="0.3">
      <c r="G699">
        <f>both!N707</f>
        <v>0.40246467587890017</v>
      </c>
      <c r="H699">
        <f>soc!N707</f>
        <v>0.26161266662459159</v>
      </c>
      <c r="I699">
        <f t="shared" si="20"/>
        <v>978</v>
      </c>
      <c r="J699">
        <f t="shared" si="21"/>
        <v>817</v>
      </c>
    </row>
    <row r="700" spans="7:10" x14ac:dyDescent="0.3">
      <c r="G700">
        <f>both!N708</f>
        <v>0.94530392906678584</v>
      </c>
      <c r="H700">
        <f>soc!N708</f>
        <v>0.96798691022312067</v>
      </c>
      <c r="I700">
        <f t="shared" si="20"/>
        <v>1912</v>
      </c>
      <c r="J700">
        <f t="shared" si="21"/>
        <v>1949</v>
      </c>
    </row>
    <row r="701" spans="7:10" x14ac:dyDescent="0.3">
      <c r="G701">
        <f>both!N709</f>
        <v>0.93977969649160387</v>
      </c>
      <c r="H701">
        <f>soc!N709</f>
        <v>1.3925698105620515E-3</v>
      </c>
      <c r="I701">
        <f t="shared" si="20"/>
        <v>1904</v>
      </c>
      <c r="J701">
        <f t="shared" si="21"/>
        <v>206</v>
      </c>
    </row>
    <row r="702" spans="7:10" x14ac:dyDescent="0.3">
      <c r="G702">
        <f>both!N710</f>
        <v>0.68202278914865233</v>
      </c>
      <c r="H702">
        <f>soc!N710</f>
        <v>2.1904790056941404E-4</v>
      </c>
      <c r="I702">
        <f t="shared" si="20"/>
        <v>1378</v>
      </c>
      <c r="J702">
        <f t="shared" si="21"/>
        <v>84</v>
      </c>
    </row>
    <row r="703" spans="7:10" x14ac:dyDescent="0.3">
      <c r="G703">
        <f>both!N711</f>
        <v>0.92059447626923485</v>
      </c>
      <c r="H703">
        <f>soc!N711</f>
        <v>0.53809024821032703</v>
      </c>
      <c r="I703">
        <f t="shared" si="20"/>
        <v>1865</v>
      </c>
      <c r="J703">
        <f t="shared" si="21"/>
        <v>1156</v>
      </c>
    </row>
    <row r="704" spans="7:10" x14ac:dyDescent="0.3">
      <c r="G704">
        <f>both!N712</f>
        <v>0.68945386759323102</v>
      </c>
      <c r="H704">
        <f>soc!N712</f>
        <v>0.11579177784603197</v>
      </c>
      <c r="I704">
        <f t="shared" si="20"/>
        <v>1394</v>
      </c>
      <c r="J704">
        <f t="shared" si="21"/>
        <v>698</v>
      </c>
    </row>
    <row r="705" spans="7:10" x14ac:dyDescent="0.3">
      <c r="G705">
        <f>both!N713</f>
        <v>0.76142664414588757</v>
      </c>
      <c r="H705">
        <f>soc!N713</f>
        <v>0.34797831682003122</v>
      </c>
      <c r="I705">
        <f t="shared" si="20"/>
        <v>1538</v>
      </c>
      <c r="J705">
        <f t="shared" si="21"/>
        <v>906</v>
      </c>
    </row>
    <row r="706" spans="7:10" x14ac:dyDescent="0.3">
      <c r="G706">
        <f>both!N714</f>
        <v>0.97340225093248522</v>
      </c>
      <c r="H706">
        <f>soc!N714</f>
        <v>0.25265818254845929</v>
      </c>
      <c r="I706">
        <f t="shared" si="20"/>
        <v>1955</v>
      </c>
      <c r="J706">
        <f t="shared" si="21"/>
        <v>808</v>
      </c>
    </row>
    <row r="707" spans="7:10" x14ac:dyDescent="0.3">
      <c r="G707">
        <f>both!N715</f>
        <v>0.85695173845346551</v>
      </c>
      <c r="H707">
        <f>soc!N715</f>
        <v>2.8117865576485989E-3</v>
      </c>
      <c r="I707">
        <f t="shared" si="20"/>
        <v>1724</v>
      </c>
      <c r="J707">
        <f t="shared" si="21"/>
        <v>275</v>
      </c>
    </row>
    <row r="708" spans="7:10" x14ac:dyDescent="0.3">
      <c r="G708">
        <f>both!N716</f>
        <v>0.76247730148819426</v>
      </c>
      <c r="H708">
        <f>soc!N716</f>
        <v>4.9993290345631769E-2</v>
      </c>
      <c r="I708">
        <f t="shared" si="20"/>
        <v>1542</v>
      </c>
      <c r="J708">
        <f t="shared" si="21"/>
        <v>612</v>
      </c>
    </row>
    <row r="709" spans="7:10" x14ac:dyDescent="0.3">
      <c r="G709">
        <f>both!N717</f>
        <v>0.3131526479722086</v>
      </c>
      <c r="H709">
        <f>soc!N717</f>
        <v>0.1147213589668637</v>
      </c>
      <c r="I709">
        <f t="shared" ref="I709:I772" si="22">RANK(G709,$G$4:$H$1004,1) + (COUNTIF($G$4:$H$1004,G709)-1)/2</f>
        <v>865</v>
      </c>
      <c r="J709">
        <f t="shared" ref="J709:J772" si="23">RANK(H709,$G$4:$H$1004,1) + (COUNTIF($G$4:$H$1004,H709)-1)/2</f>
        <v>697</v>
      </c>
    </row>
    <row r="710" spans="7:10" x14ac:dyDescent="0.3">
      <c r="G710">
        <f>both!N718</f>
        <v>0.45816304776506811</v>
      </c>
      <c r="H710">
        <f>soc!N718</f>
        <v>1.7050291080793173E-2</v>
      </c>
      <c r="I710">
        <f t="shared" si="22"/>
        <v>1042</v>
      </c>
      <c r="J710">
        <f t="shared" si="23"/>
        <v>482</v>
      </c>
    </row>
    <row r="711" spans="7:10" x14ac:dyDescent="0.3">
      <c r="G711">
        <f>both!N719</f>
        <v>0.95202222137483061</v>
      </c>
      <c r="H711">
        <f>soc!N719</f>
        <v>0.17989442178056314</v>
      </c>
      <c r="I711">
        <f t="shared" si="22"/>
        <v>1929</v>
      </c>
      <c r="J711">
        <f t="shared" si="23"/>
        <v>753</v>
      </c>
    </row>
    <row r="712" spans="7:10" x14ac:dyDescent="0.3">
      <c r="G712">
        <f>both!N720</f>
        <v>0.78925127304478992</v>
      </c>
      <c r="H712">
        <f>soc!N720</f>
        <v>1.564788381378435E-3</v>
      </c>
      <c r="I712">
        <f t="shared" si="22"/>
        <v>1580</v>
      </c>
      <c r="J712">
        <f t="shared" si="23"/>
        <v>221</v>
      </c>
    </row>
    <row r="713" spans="7:10" x14ac:dyDescent="0.3">
      <c r="G713">
        <f>both!N721</f>
        <v>0.36311251878395995</v>
      </c>
      <c r="H713">
        <f>soc!N721</f>
        <v>2.4090110604750989E-3</v>
      </c>
      <c r="I713">
        <f t="shared" si="22"/>
        <v>927</v>
      </c>
      <c r="J713">
        <f t="shared" si="23"/>
        <v>266</v>
      </c>
    </row>
    <row r="714" spans="7:10" x14ac:dyDescent="0.3">
      <c r="G714">
        <f>both!N722</f>
        <v>0.75480407995759902</v>
      </c>
      <c r="H714">
        <f>soc!N722</f>
        <v>7.7802506245475497E-5</v>
      </c>
      <c r="I714">
        <f t="shared" si="22"/>
        <v>1522</v>
      </c>
      <c r="J714">
        <f t="shared" si="23"/>
        <v>45</v>
      </c>
    </row>
    <row r="715" spans="7:10" x14ac:dyDescent="0.3">
      <c r="G715">
        <f>both!N723</f>
        <v>0.59061622400295344</v>
      </c>
      <c r="H715">
        <f>soc!N723</f>
        <v>3.9381660806130057E-3</v>
      </c>
      <c r="I715">
        <f t="shared" si="22"/>
        <v>1243</v>
      </c>
      <c r="J715">
        <f t="shared" si="23"/>
        <v>312</v>
      </c>
    </row>
    <row r="716" spans="7:10" x14ac:dyDescent="0.3">
      <c r="G716">
        <f>both!N724</f>
        <v>0.18984904458252358</v>
      </c>
      <c r="H716">
        <f>soc!N724</f>
        <v>4.11621608330766E-3</v>
      </c>
      <c r="I716">
        <f t="shared" si="22"/>
        <v>762</v>
      </c>
      <c r="J716">
        <f t="shared" si="23"/>
        <v>318</v>
      </c>
    </row>
    <row r="717" spans="7:10" x14ac:dyDescent="0.3">
      <c r="G717">
        <f>both!N725</f>
        <v>0.39385310594552037</v>
      </c>
      <c r="H717">
        <f>soc!N725</f>
        <v>8.7739478436573426E-2</v>
      </c>
      <c r="I717">
        <f t="shared" si="22"/>
        <v>969</v>
      </c>
      <c r="J717">
        <f t="shared" si="23"/>
        <v>670</v>
      </c>
    </row>
    <row r="718" spans="7:10" x14ac:dyDescent="0.3">
      <c r="G718">
        <f>both!N726</f>
        <v>0.80985522170539981</v>
      </c>
      <c r="H718">
        <f>soc!N726</f>
        <v>4.0880951028778978E-2</v>
      </c>
      <c r="I718">
        <f t="shared" si="22"/>
        <v>1624</v>
      </c>
      <c r="J718">
        <f t="shared" si="23"/>
        <v>586</v>
      </c>
    </row>
    <row r="719" spans="7:10" x14ac:dyDescent="0.3">
      <c r="G719">
        <f>both!N727</f>
        <v>0.90133673675416115</v>
      </c>
      <c r="H719">
        <f>soc!N727</f>
        <v>1.7207710129054702E-2</v>
      </c>
      <c r="I719">
        <f t="shared" si="22"/>
        <v>1829</v>
      </c>
      <c r="J719">
        <f t="shared" si="23"/>
        <v>484</v>
      </c>
    </row>
    <row r="720" spans="7:10" x14ac:dyDescent="0.3">
      <c r="G720">
        <f>both!N728</f>
        <v>0.9396432135265681</v>
      </c>
      <c r="H720">
        <f>soc!N728</f>
        <v>6.9117846904102817E-2</v>
      </c>
      <c r="I720">
        <f t="shared" si="22"/>
        <v>1903</v>
      </c>
      <c r="J720">
        <f t="shared" si="23"/>
        <v>649</v>
      </c>
    </row>
    <row r="721" spans="7:10" x14ac:dyDescent="0.3">
      <c r="G721">
        <f>both!N729</f>
        <v>0.92991653173809852</v>
      </c>
      <c r="H721">
        <f>soc!N729</f>
        <v>1.0222883188420724E-2</v>
      </c>
      <c r="I721">
        <f t="shared" si="22"/>
        <v>1887</v>
      </c>
      <c r="J721">
        <f t="shared" si="23"/>
        <v>428</v>
      </c>
    </row>
    <row r="722" spans="7:10" x14ac:dyDescent="0.3">
      <c r="G722">
        <f>both!N730</f>
        <v>0.8212599184763727</v>
      </c>
      <c r="H722">
        <f>soc!N730</f>
        <v>0.79649753106310994</v>
      </c>
      <c r="I722">
        <f t="shared" si="22"/>
        <v>1644</v>
      </c>
      <c r="J722">
        <f t="shared" si="23"/>
        <v>1597</v>
      </c>
    </row>
    <row r="723" spans="7:10" x14ac:dyDescent="0.3">
      <c r="G723">
        <f>both!N731</f>
        <v>0.59044871993875536</v>
      </c>
      <c r="H723">
        <f>soc!N731</f>
        <v>4.8999773896894413E-4</v>
      </c>
      <c r="I723">
        <f t="shared" si="22"/>
        <v>1241</v>
      </c>
      <c r="J723">
        <f t="shared" si="23"/>
        <v>127</v>
      </c>
    </row>
    <row r="724" spans="7:10" x14ac:dyDescent="0.3">
      <c r="G724">
        <f>both!N732</f>
        <v>0.83303275375019825</v>
      </c>
      <c r="H724">
        <f>soc!N732</f>
        <v>0.52019520887263382</v>
      </c>
      <c r="I724">
        <f t="shared" si="22"/>
        <v>1676</v>
      </c>
      <c r="J724">
        <f t="shared" si="23"/>
        <v>1129</v>
      </c>
    </row>
    <row r="725" spans="7:10" x14ac:dyDescent="0.3">
      <c r="G725">
        <f>both!N733</f>
        <v>0.42558288253501669</v>
      </c>
      <c r="H725">
        <f>soc!N733</f>
        <v>6.3544051860119658E-3</v>
      </c>
      <c r="I725">
        <f t="shared" si="22"/>
        <v>1005</v>
      </c>
      <c r="J725">
        <f t="shared" si="23"/>
        <v>373</v>
      </c>
    </row>
    <row r="726" spans="7:10" x14ac:dyDescent="0.3">
      <c r="G726">
        <f>both!N734</f>
        <v>0.33699196954096977</v>
      </c>
      <c r="H726">
        <f>soc!N734</f>
        <v>0.36242699320373833</v>
      </c>
      <c r="I726">
        <f t="shared" si="22"/>
        <v>892</v>
      </c>
      <c r="J726">
        <f t="shared" si="23"/>
        <v>924</v>
      </c>
    </row>
    <row r="727" spans="7:10" x14ac:dyDescent="0.3">
      <c r="G727">
        <f>both!N735</f>
        <v>0.55618467718973408</v>
      </c>
      <c r="H727">
        <f>soc!N735</f>
        <v>0.10034021719733231</v>
      </c>
      <c r="I727">
        <f t="shared" si="22"/>
        <v>1182</v>
      </c>
      <c r="J727">
        <f t="shared" si="23"/>
        <v>684</v>
      </c>
    </row>
    <row r="728" spans="7:10" x14ac:dyDescent="0.3">
      <c r="G728">
        <f>both!N736</f>
        <v>0.89625230524838873</v>
      </c>
      <c r="H728">
        <f>soc!N736</f>
        <v>3.603591120345312E-3</v>
      </c>
      <c r="I728">
        <f t="shared" si="22"/>
        <v>1821</v>
      </c>
      <c r="J728">
        <f t="shared" si="23"/>
        <v>301</v>
      </c>
    </row>
    <row r="729" spans="7:10" x14ac:dyDescent="0.3">
      <c r="G729">
        <f>both!N737</f>
        <v>0.7910909057656853</v>
      </c>
      <c r="H729">
        <f>soc!N737</f>
        <v>0.16939486921509322</v>
      </c>
      <c r="I729">
        <f t="shared" si="22"/>
        <v>1585</v>
      </c>
      <c r="J729">
        <f t="shared" si="23"/>
        <v>743</v>
      </c>
    </row>
    <row r="730" spans="7:10" x14ac:dyDescent="0.3">
      <c r="G730">
        <f>both!N738</f>
        <v>0.65142932811683141</v>
      </c>
      <c r="H730">
        <f>soc!N738</f>
        <v>0.3113313068507253</v>
      </c>
      <c r="I730">
        <f t="shared" si="22"/>
        <v>1330</v>
      </c>
      <c r="J730">
        <f t="shared" si="23"/>
        <v>863</v>
      </c>
    </row>
    <row r="731" spans="7:10" x14ac:dyDescent="0.3">
      <c r="G731">
        <f>both!N739</f>
        <v>0.58362275044686607</v>
      </c>
      <c r="H731">
        <f>soc!N739</f>
        <v>0.70380587192435584</v>
      </c>
      <c r="I731">
        <f t="shared" si="22"/>
        <v>1226</v>
      </c>
      <c r="J731">
        <f t="shared" si="23"/>
        <v>1423</v>
      </c>
    </row>
    <row r="732" spans="7:10" x14ac:dyDescent="0.3">
      <c r="G732">
        <f>both!N740</f>
        <v>0.73951747571746329</v>
      </c>
      <c r="H732">
        <f>soc!N740</f>
        <v>4.7491473685365007E-2</v>
      </c>
      <c r="I732">
        <f t="shared" si="22"/>
        <v>1494</v>
      </c>
      <c r="J732">
        <f t="shared" si="23"/>
        <v>606</v>
      </c>
    </row>
    <row r="733" spans="7:10" x14ac:dyDescent="0.3">
      <c r="G733">
        <f>both!N741</f>
        <v>0.60896831172101051</v>
      </c>
      <c r="H733">
        <f>soc!N741</f>
        <v>4.3271605324016627E-3</v>
      </c>
      <c r="I733">
        <f t="shared" si="22"/>
        <v>1270</v>
      </c>
      <c r="J733">
        <f t="shared" si="23"/>
        <v>327</v>
      </c>
    </row>
    <row r="734" spans="7:10" x14ac:dyDescent="0.3">
      <c r="G734">
        <f>both!N742</f>
        <v>0.29301724153262365</v>
      </c>
      <c r="H734">
        <f>soc!N742</f>
        <v>0.49258523978060115</v>
      </c>
      <c r="I734">
        <f t="shared" si="22"/>
        <v>840</v>
      </c>
      <c r="J734">
        <f t="shared" si="23"/>
        <v>1090</v>
      </c>
    </row>
    <row r="735" spans="7:10" x14ac:dyDescent="0.3">
      <c r="G735">
        <f>both!N743</f>
        <v>0.8084083574456834</v>
      </c>
      <c r="H735">
        <f>soc!N743</f>
        <v>1.2651365886311655E-5</v>
      </c>
      <c r="I735">
        <f t="shared" si="22"/>
        <v>1623</v>
      </c>
      <c r="J735">
        <f t="shared" si="23"/>
        <v>12</v>
      </c>
    </row>
    <row r="736" spans="7:10" x14ac:dyDescent="0.3">
      <c r="G736">
        <f>both!N744</f>
        <v>0.89954417429574407</v>
      </c>
      <c r="H736">
        <f>soc!N744</f>
        <v>8.6948340040173225E-2</v>
      </c>
      <c r="I736">
        <f t="shared" si="22"/>
        <v>1826</v>
      </c>
      <c r="J736">
        <f t="shared" si="23"/>
        <v>669</v>
      </c>
    </row>
    <row r="737" spans="7:10" x14ac:dyDescent="0.3">
      <c r="G737">
        <f>both!N745</f>
        <v>0.67036927027639104</v>
      </c>
      <c r="H737">
        <f>soc!N745</f>
        <v>1.9599153736486559E-3</v>
      </c>
      <c r="I737">
        <f t="shared" si="22"/>
        <v>1365</v>
      </c>
      <c r="J737">
        <f t="shared" si="23"/>
        <v>247</v>
      </c>
    </row>
    <row r="738" spans="7:10" x14ac:dyDescent="0.3">
      <c r="G738">
        <f>both!N746</f>
        <v>0.88119141025056535</v>
      </c>
      <c r="H738">
        <f>soc!N746</f>
        <v>5.6778469580587548E-2</v>
      </c>
      <c r="I738">
        <f t="shared" si="22"/>
        <v>1788</v>
      </c>
      <c r="J738">
        <f t="shared" si="23"/>
        <v>627</v>
      </c>
    </row>
    <row r="739" spans="7:10" x14ac:dyDescent="0.3">
      <c r="G739">
        <f>both!N747</f>
        <v>0.75446490326101534</v>
      </c>
      <c r="H739">
        <f>soc!N747</f>
        <v>0.24562283105858695</v>
      </c>
      <c r="I739">
        <f t="shared" si="22"/>
        <v>1520</v>
      </c>
      <c r="J739">
        <f t="shared" si="23"/>
        <v>803</v>
      </c>
    </row>
    <row r="740" spans="7:10" x14ac:dyDescent="0.3">
      <c r="G740">
        <f>both!N748</f>
        <v>0.84877907458108548</v>
      </c>
      <c r="H740">
        <f>soc!N748</f>
        <v>4.946288354847052E-3</v>
      </c>
      <c r="I740">
        <f t="shared" si="22"/>
        <v>1712</v>
      </c>
      <c r="J740">
        <f t="shared" si="23"/>
        <v>348</v>
      </c>
    </row>
    <row r="741" spans="7:10" x14ac:dyDescent="0.3">
      <c r="G741">
        <f>both!N749</f>
        <v>0.7520222576048613</v>
      </c>
      <c r="H741">
        <f>soc!N749</f>
        <v>3.2339829537754942E-3</v>
      </c>
      <c r="I741">
        <f t="shared" si="22"/>
        <v>1516</v>
      </c>
      <c r="J741">
        <f t="shared" si="23"/>
        <v>292</v>
      </c>
    </row>
    <row r="742" spans="7:10" x14ac:dyDescent="0.3">
      <c r="G742">
        <f>both!N750</f>
        <v>0.55876199458592801</v>
      </c>
      <c r="H742">
        <f>soc!N750</f>
        <v>0.62361291124901275</v>
      </c>
      <c r="I742">
        <f t="shared" si="22"/>
        <v>1187</v>
      </c>
      <c r="J742">
        <f t="shared" si="23"/>
        <v>1287</v>
      </c>
    </row>
    <row r="743" spans="7:10" x14ac:dyDescent="0.3">
      <c r="G743">
        <f>both!N751</f>
        <v>0.984956067905571</v>
      </c>
      <c r="H743">
        <f>soc!N751</f>
        <v>4.8294184522742027E-2</v>
      </c>
      <c r="I743">
        <f t="shared" si="22"/>
        <v>1974</v>
      </c>
      <c r="J743">
        <f t="shared" si="23"/>
        <v>608</v>
      </c>
    </row>
    <row r="744" spans="7:10" x14ac:dyDescent="0.3">
      <c r="G744">
        <f>both!N752</f>
        <v>0.90794361149359371</v>
      </c>
      <c r="H744">
        <f>soc!N752</f>
        <v>4.8632692989205384E-3</v>
      </c>
      <c r="I744">
        <f t="shared" si="22"/>
        <v>1842</v>
      </c>
      <c r="J744">
        <f t="shared" si="23"/>
        <v>342</v>
      </c>
    </row>
    <row r="745" spans="7:10" x14ac:dyDescent="0.3">
      <c r="G745">
        <f>both!N753</f>
        <v>0.70730035170332917</v>
      </c>
      <c r="H745">
        <f>soc!N753</f>
        <v>9.0186255326020134E-4</v>
      </c>
      <c r="I745">
        <f t="shared" si="22"/>
        <v>1426</v>
      </c>
      <c r="J745">
        <f t="shared" si="23"/>
        <v>166</v>
      </c>
    </row>
    <row r="746" spans="7:10" x14ac:dyDescent="0.3">
      <c r="G746">
        <f>both!N754</f>
        <v>0.85706363893474069</v>
      </c>
      <c r="H746">
        <f>soc!N754</f>
        <v>1.1916867373112896E-2</v>
      </c>
      <c r="I746">
        <f t="shared" si="22"/>
        <v>1725</v>
      </c>
      <c r="J746">
        <f t="shared" si="23"/>
        <v>443</v>
      </c>
    </row>
    <row r="747" spans="7:10" x14ac:dyDescent="0.3">
      <c r="G747">
        <f>both!N755</f>
        <v>0.76083368128955864</v>
      </c>
      <c r="H747">
        <f>soc!N755</f>
        <v>1.3637947630190017E-2</v>
      </c>
      <c r="I747">
        <f t="shared" si="22"/>
        <v>1537</v>
      </c>
      <c r="J747">
        <f t="shared" si="23"/>
        <v>457</v>
      </c>
    </row>
    <row r="748" spans="7:10" x14ac:dyDescent="0.3">
      <c r="G748">
        <f>both!N756</f>
        <v>0.82390491668226062</v>
      </c>
      <c r="H748">
        <f>soc!N756</f>
        <v>2.2369932775332134E-2</v>
      </c>
      <c r="I748">
        <f t="shared" si="22"/>
        <v>1650</v>
      </c>
      <c r="J748">
        <f t="shared" si="23"/>
        <v>522</v>
      </c>
    </row>
    <row r="749" spans="7:10" x14ac:dyDescent="0.3">
      <c r="G749">
        <f>both!N757</f>
        <v>0.90724730820287658</v>
      </c>
      <c r="H749">
        <f>soc!N757</f>
        <v>1.1332129973734247E-3</v>
      </c>
      <c r="I749">
        <f t="shared" si="22"/>
        <v>1841</v>
      </c>
      <c r="J749">
        <f t="shared" si="23"/>
        <v>185</v>
      </c>
    </row>
    <row r="750" spans="7:10" x14ac:dyDescent="0.3">
      <c r="G750">
        <f>both!N758</f>
        <v>0.53505336014355764</v>
      </c>
      <c r="H750">
        <f>soc!N758</f>
        <v>2.0367349916381555E-5</v>
      </c>
      <c r="I750">
        <f t="shared" si="22"/>
        <v>1153</v>
      </c>
      <c r="J750">
        <f t="shared" si="23"/>
        <v>17</v>
      </c>
    </row>
    <row r="751" spans="7:10" x14ac:dyDescent="0.3">
      <c r="G751">
        <f>both!N759</f>
        <v>0.89604398797223495</v>
      </c>
      <c r="H751">
        <f>soc!N759</f>
        <v>1.3995483688385628E-2</v>
      </c>
      <c r="I751">
        <f t="shared" si="22"/>
        <v>1820</v>
      </c>
      <c r="J751">
        <f t="shared" si="23"/>
        <v>462</v>
      </c>
    </row>
    <row r="752" spans="7:10" x14ac:dyDescent="0.3">
      <c r="G752">
        <f>both!N760</f>
        <v>0.63218628796380427</v>
      </c>
      <c r="H752">
        <f>soc!N760</f>
        <v>0.99518909750916185</v>
      </c>
      <c r="I752">
        <f t="shared" si="22"/>
        <v>1298</v>
      </c>
      <c r="J752">
        <f t="shared" si="23"/>
        <v>1984</v>
      </c>
    </row>
    <row r="753" spans="7:10" x14ac:dyDescent="0.3">
      <c r="G753">
        <f>both!N761</f>
        <v>0.86407511417055449</v>
      </c>
      <c r="H753">
        <f>soc!N761</f>
        <v>1.0760835776829607E-3</v>
      </c>
      <c r="I753">
        <f t="shared" si="22"/>
        <v>1750</v>
      </c>
      <c r="J753">
        <f t="shared" si="23"/>
        <v>179</v>
      </c>
    </row>
    <row r="754" spans="7:10" x14ac:dyDescent="0.3">
      <c r="G754">
        <f>both!N762</f>
        <v>0.33499770621895808</v>
      </c>
      <c r="H754">
        <f>soc!N762</f>
        <v>0.83224592962246846</v>
      </c>
      <c r="I754">
        <f t="shared" si="22"/>
        <v>889</v>
      </c>
      <c r="J754">
        <f t="shared" si="23"/>
        <v>1675</v>
      </c>
    </row>
    <row r="755" spans="7:10" x14ac:dyDescent="0.3">
      <c r="G755">
        <f>both!N763</f>
        <v>0.66273514881616868</v>
      </c>
      <c r="H755">
        <f>soc!N763</f>
        <v>5.5477176673496609E-2</v>
      </c>
      <c r="I755">
        <f t="shared" si="22"/>
        <v>1350</v>
      </c>
      <c r="J755">
        <f t="shared" si="23"/>
        <v>623</v>
      </c>
    </row>
    <row r="756" spans="7:10" x14ac:dyDescent="0.3">
      <c r="G756">
        <f>both!N764</f>
        <v>0.254599036685703</v>
      </c>
      <c r="H756">
        <f>soc!N764</f>
        <v>0.83462861420217982</v>
      </c>
      <c r="I756">
        <f t="shared" si="22"/>
        <v>810</v>
      </c>
      <c r="J756">
        <f t="shared" si="23"/>
        <v>1679</v>
      </c>
    </row>
    <row r="757" spans="7:10" x14ac:dyDescent="0.3">
      <c r="G757">
        <f>both!N765</f>
        <v>0.74434281009766023</v>
      </c>
      <c r="H757">
        <f>soc!N765</f>
        <v>0.10369343336801778</v>
      </c>
      <c r="I757">
        <f t="shared" si="22"/>
        <v>1504</v>
      </c>
      <c r="J757">
        <f t="shared" si="23"/>
        <v>688</v>
      </c>
    </row>
    <row r="758" spans="7:10" x14ac:dyDescent="0.3">
      <c r="G758">
        <f>both!N766</f>
        <v>0.51346485404817399</v>
      </c>
      <c r="H758">
        <f>soc!N766</f>
        <v>8.3833713115816805E-2</v>
      </c>
      <c r="I758">
        <f t="shared" si="22"/>
        <v>1118</v>
      </c>
      <c r="J758">
        <f t="shared" si="23"/>
        <v>666</v>
      </c>
    </row>
    <row r="759" spans="7:10" x14ac:dyDescent="0.3">
      <c r="G759">
        <f>both!N767</f>
        <v>0.39221894905762089</v>
      </c>
      <c r="H759">
        <f>soc!N767</f>
        <v>2.5799808297927249E-2</v>
      </c>
      <c r="I759">
        <f t="shared" si="22"/>
        <v>966</v>
      </c>
      <c r="J759">
        <f t="shared" si="23"/>
        <v>537</v>
      </c>
    </row>
    <row r="760" spans="7:10" x14ac:dyDescent="0.3">
      <c r="G760">
        <f>both!N768</f>
        <v>0.58780689553482213</v>
      </c>
      <c r="H760">
        <f>soc!N768</f>
        <v>1.1993839831955016E-3</v>
      </c>
      <c r="I760">
        <f t="shared" si="22"/>
        <v>1237</v>
      </c>
      <c r="J760">
        <f t="shared" si="23"/>
        <v>187</v>
      </c>
    </row>
    <row r="761" spans="7:10" x14ac:dyDescent="0.3">
      <c r="G761">
        <f>both!N769</f>
        <v>0.90363586922874739</v>
      </c>
      <c r="H761">
        <f>soc!N769</f>
        <v>2.3034124327615122E-2</v>
      </c>
      <c r="I761">
        <f t="shared" si="22"/>
        <v>1835</v>
      </c>
      <c r="J761">
        <f t="shared" si="23"/>
        <v>523</v>
      </c>
    </row>
    <row r="762" spans="7:10" x14ac:dyDescent="0.3">
      <c r="G762">
        <f>both!N770</f>
        <v>0.81969745030705865</v>
      </c>
      <c r="H762">
        <f>soc!N770</f>
        <v>1.8495857472688445E-4</v>
      </c>
      <c r="I762">
        <f t="shared" si="22"/>
        <v>1641</v>
      </c>
      <c r="J762">
        <f t="shared" si="23"/>
        <v>76</v>
      </c>
    </row>
    <row r="763" spans="7:10" x14ac:dyDescent="0.3">
      <c r="G763">
        <f>both!N771</f>
        <v>0.84884863857669424</v>
      </c>
      <c r="H763">
        <f>soc!N771</f>
        <v>1.5236697830899816E-3</v>
      </c>
      <c r="I763">
        <f t="shared" si="22"/>
        <v>1713</v>
      </c>
      <c r="J763">
        <f t="shared" si="23"/>
        <v>217</v>
      </c>
    </row>
    <row r="764" spans="7:10" x14ac:dyDescent="0.3">
      <c r="G764">
        <f>both!N772</f>
        <v>0.84998705654398699</v>
      </c>
      <c r="H764">
        <f>soc!N772</f>
        <v>8.6424628499089211E-3</v>
      </c>
      <c r="I764">
        <f t="shared" si="22"/>
        <v>1715</v>
      </c>
      <c r="J764">
        <f t="shared" si="23"/>
        <v>409</v>
      </c>
    </row>
    <row r="765" spans="7:10" x14ac:dyDescent="0.3">
      <c r="G765">
        <f>both!N773</f>
        <v>0.84100690910644627</v>
      </c>
      <c r="H765">
        <f>soc!N773</f>
        <v>0.16919512751249924</v>
      </c>
      <c r="I765">
        <f t="shared" si="22"/>
        <v>1692</v>
      </c>
      <c r="J765">
        <f t="shared" si="23"/>
        <v>742</v>
      </c>
    </row>
    <row r="766" spans="7:10" x14ac:dyDescent="0.3">
      <c r="G766">
        <f>both!N774</f>
        <v>0.52038816122068288</v>
      </c>
      <c r="H766">
        <f>soc!N774</f>
        <v>1.2008509781974471E-3</v>
      </c>
      <c r="I766">
        <f t="shared" si="22"/>
        <v>1130</v>
      </c>
      <c r="J766">
        <f t="shared" si="23"/>
        <v>188</v>
      </c>
    </row>
    <row r="767" spans="7:10" x14ac:dyDescent="0.3">
      <c r="G767">
        <f>both!N775</f>
        <v>0.56927972269386229</v>
      </c>
      <c r="H767">
        <f>soc!N775</f>
        <v>0.29754461379833136</v>
      </c>
      <c r="I767">
        <f t="shared" si="22"/>
        <v>1208</v>
      </c>
      <c r="J767">
        <f t="shared" si="23"/>
        <v>844</v>
      </c>
    </row>
    <row r="768" spans="7:10" x14ac:dyDescent="0.3">
      <c r="G768">
        <f>both!N776</f>
        <v>0.61520332516619491</v>
      </c>
      <c r="H768">
        <f>soc!N776</f>
        <v>2.2668567668322412E-3</v>
      </c>
      <c r="I768">
        <f t="shared" si="22"/>
        <v>1279</v>
      </c>
      <c r="J768">
        <f t="shared" si="23"/>
        <v>260</v>
      </c>
    </row>
    <row r="769" spans="7:10" x14ac:dyDescent="0.3">
      <c r="G769">
        <f>both!N777</f>
        <v>0.72038293982695256</v>
      </c>
      <c r="H769">
        <f>soc!N777</f>
        <v>2.4183898175329538E-2</v>
      </c>
      <c r="I769">
        <f t="shared" si="22"/>
        <v>1453</v>
      </c>
      <c r="J769">
        <f t="shared" si="23"/>
        <v>530</v>
      </c>
    </row>
    <row r="770" spans="7:10" x14ac:dyDescent="0.3">
      <c r="G770">
        <f>both!N778</f>
        <v>0.96797935563948312</v>
      </c>
      <c r="H770">
        <f>soc!N778</f>
        <v>6.4313126598738557E-4</v>
      </c>
      <c r="I770">
        <f t="shared" si="22"/>
        <v>1948</v>
      </c>
      <c r="J770">
        <f t="shared" si="23"/>
        <v>146</v>
      </c>
    </row>
    <row r="771" spans="7:10" x14ac:dyDescent="0.3">
      <c r="G771">
        <f>both!N779</f>
        <v>0.57188971761650931</v>
      </c>
      <c r="H771">
        <f>soc!N779</f>
        <v>1.083479134723588E-3</v>
      </c>
      <c r="I771">
        <f t="shared" si="22"/>
        <v>1211</v>
      </c>
      <c r="J771">
        <f t="shared" si="23"/>
        <v>181</v>
      </c>
    </row>
    <row r="772" spans="7:10" x14ac:dyDescent="0.3">
      <c r="G772">
        <f>both!N780</f>
        <v>0.84823650150395169</v>
      </c>
      <c r="H772">
        <f>soc!N780</f>
        <v>9.7344139223358005E-4</v>
      </c>
      <c r="I772">
        <f t="shared" si="22"/>
        <v>1710</v>
      </c>
      <c r="J772">
        <f t="shared" si="23"/>
        <v>173</v>
      </c>
    </row>
    <row r="773" spans="7:10" x14ac:dyDescent="0.3">
      <c r="G773">
        <f>both!N781</f>
        <v>0.95514606557373805</v>
      </c>
      <c r="H773">
        <f>soc!N781</f>
        <v>0.12613516277371559</v>
      </c>
      <c r="I773">
        <f t="shared" ref="I773:I836" si="24">RANK(G773,$G$4:$H$1004,1) + (COUNTIF($G$4:$H$1004,G773)-1)/2</f>
        <v>1934</v>
      </c>
      <c r="J773">
        <f t="shared" ref="J773:J836" si="25">RANK(H773,$G$4:$H$1004,1) + (COUNTIF($G$4:$H$1004,H773)-1)/2</f>
        <v>711</v>
      </c>
    </row>
    <row r="774" spans="7:10" x14ac:dyDescent="0.3">
      <c r="G774">
        <f>both!N782</f>
        <v>0.64059960262836335</v>
      </c>
      <c r="H774">
        <f>soc!N782</f>
        <v>9.8368555946942498E-5</v>
      </c>
      <c r="I774">
        <f t="shared" si="24"/>
        <v>1314</v>
      </c>
      <c r="J774">
        <f t="shared" si="25"/>
        <v>51</v>
      </c>
    </row>
    <row r="775" spans="7:10" x14ac:dyDescent="0.3">
      <c r="G775">
        <f>both!N783</f>
        <v>0.84499125084484306</v>
      </c>
      <c r="H775">
        <f>soc!N783</f>
        <v>0.56541571882900732</v>
      </c>
      <c r="I775">
        <f t="shared" si="24"/>
        <v>1705</v>
      </c>
      <c r="J775">
        <f t="shared" si="25"/>
        <v>1200</v>
      </c>
    </row>
    <row r="776" spans="7:10" x14ac:dyDescent="0.3">
      <c r="G776">
        <f>both!N784</f>
        <v>0.89852141034816424</v>
      </c>
      <c r="H776">
        <f>soc!N784</f>
        <v>0.4090093658284652</v>
      </c>
      <c r="I776">
        <f t="shared" si="24"/>
        <v>1823</v>
      </c>
      <c r="J776">
        <f t="shared" si="25"/>
        <v>988</v>
      </c>
    </row>
    <row r="777" spans="7:10" x14ac:dyDescent="0.3">
      <c r="G777">
        <f>both!N785</f>
        <v>0.82920372106354934</v>
      </c>
      <c r="H777">
        <f>soc!N785</f>
        <v>1.5103188453637478E-3</v>
      </c>
      <c r="I777">
        <f t="shared" si="24"/>
        <v>1663</v>
      </c>
      <c r="J777">
        <f t="shared" si="25"/>
        <v>215</v>
      </c>
    </row>
    <row r="778" spans="7:10" x14ac:dyDescent="0.3">
      <c r="G778">
        <f>both!N786</f>
        <v>0.42044997185375371</v>
      </c>
      <c r="H778">
        <f>soc!N786</f>
        <v>6.131130551787458E-2</v>
      </c>
      <c r="I778">
        <f t="shared" si="24"/>
        <v>999</v>
      </c>
      <c r="J778">
        <f t="shared" si="25"/>
        <v>636</v>
      </c>
    </row>
    <row r="779" spans="7:10" x14ac:dyDescent="0.3">
      <c r="G779">
        <f>both!N787</f>
        <v>0.79081055318355076</v>
      </c>
      <c r="H779">
        <f>soc!N787</f>
        <v>1.2927087596437855E-4</v>
      </c>
      <c r="I779">
        <f t="shared" si="24"/>
        <v>1584</v>
      </c>
      <c r="J779">
        <f t="shared" si="25"/>
        <v>58</v>
      </c>
    </row>
    <row r="780" spans="7:10" x14ac:dyDescent="0.3">
      <c r="G780">
        <f>both!N788</f>
        <v>0.5447426216307647</v>
      </c>
      <c r="H780">
        <f>soc!N788</f>
        <v>0.36132933903651554</v>
      </c>
      <c r="I780">
        <f t="shared" si="24"/>
        <v>1165</v>
      </c>
      <c r="J780">
        <f t="shared" si="25"/>
        <v>922</v>
      </c>
    </row>
    <row r="781" spans="7:10" x14ac:dyDescent="0.3">
      <c r="G781">
        <f>both!N789</f>
        <v>0.83161047558068146</v>
      </c>
      <c r="H781">
        <f>soc!N789</f>
        <v>1.8026659533478873E-2</v>
      </c>
      <c r="I781">
        <f t="shared" si="24"/>
        <v>1674</v>
      </c>
      <c r="J781">
        <f t="shared" si="25"/>
        <v>494</v>
      </c>
    </row>
    <row r="782" spans="7:10" x14ac:dyDescent="0.3">
      <c r="G782">
        <f>both!N790</f>
        <v>0.4705045804378778</v>
      </c>
      <c r="H782">
        <f>soc!N790</f>
        <v>1.7697074148871373E-4</v>
      </c>
      <c r="I782">
        <f t="shared" si="24"/>
        <v>1059</v>
      </c>
      <c r="J782">
        <f t="shared" si="25"/>
        <v>72</v>
      </c>
    </row>
    <row r="783" spans="7:10" x14ac:dyDescent="0.3">
      <c r="G783">
        <f>both!N791</f>
        <v>0.69556539983310506</v>
      </c>
      <c r="H783">
        <f>soc!N791</f>
        <v>8.5646615827775358E-3</v>
      </c>
      <c r="I783">
        <f t="shared" si="24"/>
        <v>1400</v>
      </c>
      <c r="J783">
        <f t="shared" si="25"/>
        <v>407</v>
      </c>
    </row>
    <row r="784" spans="7:10" x14ac:dyDescent="0.3">
      <c r="G784">
        <f>both!N792</f>
        <v>0.75161145513270577</v>
      </c>
      <c r="H784">
        <f>soc!N792</f>
        <v>2.9576433859983868E-2</v>
      </c>
      <c r="I784">
        <f t="shared" si="24"/>
        <v>1515</v>
      </c>
      <c r="J784">
        <f t="shared" si="25"/>
        <v>549</v>
      </c>
    </row>
    <row r="785" spans="7:10" x14ac:dyDescent="0.3">
      <c r="G785">
        <f>both!N793</f>
        <v>0.66485231498126329</v>
      </c>
      <c r="H785">
        <f>soc!N793</f>
        <v>0.25829499699878017</v>
      </c>
      <c r="I785">
        <f t="shared" si="24"/>
        <v>1356</v>
      </c>
      <c r="J785">
        <f t="shared" si="25"/>
        <v>814</v>
      </c>
    </row>
    <row r="786" spans="7:10" x14ac:dyDescent="0.3">
      <c r="G786">
        <f>both!N794</f>
        <v>0.7845750662096258</v>
      </c>
      <c r="H786">
        <f>soc!N794</f>
        <v>8.0310783884132708E-3</v>
      </c>
      <c r="I786">
        <f t="shared" si="24"/>
        <v>1575</v>
      </c>
      <c r="J786">
        <f t="shared" si="25"/>
        <v>398</v>
      </c>
    </row>
    <row r="787" spans="7:10" x14ac:dyDescent="0.3">
      <c r="G787">
        <f>both!N795</f>
        <v>0.72079492769846554</v>
      </c>
      <c r="H787">
        <f>soc!N795</f>
        <v>3.8765230632902877E-3</v>
      </c>
      <c r="I787">
        <f t="shared" si="24"/>
        <v>1455</v>
      </c>
      <c r="J787">
        <f t="shared" si="25"/>
        <v>309</v>
      </c>
    </row>
    <row r="788" spans="7:10" x14ac:dyDescent="0.3">
      <c r="G788">
        <f>both!N796</f>
        <v>0.74271498497614685</v>
      </c>
      <c r="H788">
        <f>soc!N796</f>
        <v>4.7210588958864104E-2</v>
      </c>
      <c r="I788">
        <f t="shared" si="24"/>
        <v>1500</v>
      </c>
      <c r="J788">
        <f t="shared" si="25"/>
        <v>604</v>
      </c>
    </row>
    <row r="789" spans="7:10" x14ac:dyDescent="0.3">
      <c r="G789">
        <f>both!N797</f>
        <v>0.8057959294078183</v>
      </c>
      <c r="H789">
        <f>soc!N797</f>
        <v>6.1081452665601279E-3</v>
      </c>
      <c r="I789">
        <f t="shared" si="24"/>
        <v>1616</v>
      </c>
      <c r="J789">
        <f t="shared" si="25"/>
        <v>370</v>
      </c>
    </row>
    <row r="790" spans="7:10" x14ac:dyDescent="0.3">
      <c r="G790">
        <f>both!N798</f>
        <v>0.60487821127537622</v>
      </c>
      <c r="H790">
        <f>soc!N798</f>
        <v>4.7145874628813741E-2</v>
      </c>
      <c r="I790">
        <f t="shared" si="24"/>
        <v>1265</v>
      </c>
      <c r="J790">
        <f t="shared" si="25"/>
        <v>603</v>
      </c>
    </row>
    <row r="791" spans="7:10" x14ac:dyDescent="0.3">
      <c r="G791">
        <f>both!N799</f>
        <v>0.51720563976188383</v>
      </c>
      <c r="H791">
        <f>soc!N799</f>
        <v>8.2036930734191E-4</v>
      </c>
      <c r="I791">
        <f t="shared" si="24"/>
        <v>1125</v>
      </c>
      <c r="J791">
        <f t="shared" si="25"/>
        <v>158</v>
      </c>
    </row>
    <row r="792" spans="7:10" x14ac:dyDescent="0.3">
      <c r="G792">
        <f>both!N800</f>
        <v>0.81506008742959057</v>
      </c>
      <c r="H792">
        <f>soc!N800</f>
        <v>4.6747984793481237E-3</v>
      </c>
      <c r="I792">
        <f t="shared" si="24"/>
        <v>1633</v>
      </c>
      <c r="J792">
        <f t="shared" si="25"/>
        <v>333</v>
      </c>
    </row>
    <row r="793" spans="7:10" x14ac:dyDescent="0.3">
      <c r="G793">
        <f>both!N801</f>
        <v>0.91299048337615218</v>
      </c>
      <c r="H793">
        <f>soc!N801</f>
        <v>4.6504852276614472E-3</v>
      </c>
      <c r="I793">
        <f t="shared" si="24"/>
        <v>1850</v>
      </c>
      <c r="J793">
        <f t="shared" si="25"/>
        <v>332</v>
      </c>
    </row>
    <row r="794" spans="7:10" x14ac:dyDescent="0.3">
      <c r="G794">
        <f>both!N802</f>
        <v>0.39829486970959882</v>
      </c>
      <c r="H794">
        <f>soc!N802</f>
        <v>3.4958035364500723E-3</v>
      </c>
      <c r="I794">
        <f t="shared" si="24"/>
        <v>972</v>
      </c>
      <c r="J794">
        <f t="shared" si="25"/>
        <v>297</v>
      </c>
    </row>
    <row r="795" spans="7:10" x14ac:dyDescent="0.3">
      <c r="G795">
        <f>both!N803</f>
        <v>0.5525650187851654</v>
      </c>
      <c r="H795">
        <f>soc!N803</f>
        <v>2.9148348567003463E-2</v>
      </c>
      <c r="I795">
        <f t="shared" si="24"/>
        <v>1178</v>
      </c>
      <c r="J795">
        <f t="shared" si="25"/>
        <v>548</v>
      </c>
    </row>
    <row r="796" spans="7:10" x14ac:dyDescent="0.3">
      <c r="G796">
        <f>both!N804</f>
        <v>0.83716474019551579</v>
      </c>
      <c r="H796">
        <f>soc!N804</f>
        <v>3.1153928448506905E-3</v>
      </c>
      <c r="I796">
        <f t="shared" si="24"/>
        <v>1685</v>
      </c>
      <c r="J796">
        <f t="shared" si="25"/>
        <v>290</v>
      </c>
    </row>
    <row r="797" spans="7:10" x14ac:dyDescent="0.3">
      <c r="G797">
        <f>both!N805</f>
        <v>0.35390703554513447</v>
      </c>
      <c r="H797">
        <f>soc!N805</f>
        <v>1.509435844511928E-4</v>
      </c>
      <c r="I797">
        <f t="shared" si="24"/>
        <v>917</v>
      </c>
      <c r="J797">
        <f t="shared" si="25"/>
        <v>63</v>
      </c>
    </row>
    <row r="798" spans="7:10" x14ac:dyDescent="0.3">
      <c r="G798">
        <f>both!N806</f>
        <v>0.46807618609144835</v>
      </c>
      <c r="H798">
        <f>soc!N806</f>
        <v>1.5078178535500285E-3</v>
      </c>
      <c r="I798">
        <f t="shared" si="24"/>
        <v>1055</v>
      </c>
      <c r="J798">
        <f t="shared" si="25"/>
        <v>214</v>
      </c>
    </row>
    <row r="799" spans="7:10" x14ac:dyDescent="0.3">
      <c r="G799">
        <f>both!N807</f>
        <v>0.95108484010076688</v>
      </c>
      <c r="H799">
        <f>soc!N807</f>
        <v>2.5067546225106528E-3</v>
      </c>
      <c r="I799">
        <f t="shared" si="24"/>
        <v>1925</v>
      </c>
      <c r="J799">
        <f t="shared" si="25"/>
        <v>267</v>
      </c>
    </row>
    <row r="800" spans="7:10" x14ac:dyDescent="0.3">
      <c r="G800">
        <f>both!N808</f>
        <v>0.39532085833935571</v>
      </c>
      <c r="H800">
        <f>soc!N808</f>
        <v>0.23233744116652624</v>
      </c>
      <c r="I800">
        <f t="shared" si="24"/>
        <v>970</v>
      </c>
      <c r="J800">
        <f t="shared" si="25"/>
        <v>795</v>
      </c>
    </row>
    <row r="801" spans="7:10" x14ac:dyDescent="0.3">
      <c r="G801">
        <f>both!N809</f>
        <v>0.55903108003755619</v>
      </c>
      <c r="H801">
        <f>soc!N809</f>
        <v>1.0192790395372226E-3</v>
      </c>
      <c r="I801">
        <f t="shared" si="24"/>
        <v>1188</v>
      </c>
      <c r="J801">
        <f t="shared" si="25"/>
        <v>176</v>
      </c>
    </row>
    <row r="802" spans="7:10" x14ac:dyDescent="0.3">
      <c r="G802">
        <f>both!N810</f>
        <v>0.46814445038511832</v>
      </c>
      <c r="H802">
        <f>soc!N810</f>
        <v>0.65013903009157881</v>
      </c>
      <c r="I802">
        <f t="shared" si="24"/>
        <v>1056</v>
      </c>
      <c r="J802">
        <f t="shared" si="25"/>
        <v>1325</v>
      </c>
    </row>
    <row r="803" spans="7:10" x14ac:dyDescent="0.3">
      <c r="G803">
        <f>both!N811</f>
        <v>0.84374994581770535</v>
      </c>
      <c r="H803">
        <f>soc!N811</f>
        <v>3.6498137298809644E-2</v>
      </c>
      <c r="I803">
        <f t="shared" si="24"/>
        <v>1701</v>
      </c>
      <c r="J803">
        <f t="shared" si="25"/>
        <v>574</v>
      </c>
    </row>
    <row r="804" spans="7:10" x14ac:dyDescent="0.3">
      <c r="G804">
        <f>both!N812</f>
        <v>0.69133830439302446</v>
      </c>
      <c r="H804">
        <f>soc!N812</f>
        <v>1.7879768465080208E-4</v>
      </c>
      <c r="I804">
        <f t="shared" si="24"/>
        <v>1397</v>
      </c>
      <c r="J804">
        <f t="shared" si="25"/>
        <v>73</v>
      </c>
    </row>
    <row r="805" spans="7:10" x14ac:dyDescent="0.3">
      <c r="G805">
        <f>both!N813</f>
        <v>0.82410681130388042</v>
      </c>
      <c r="H805">
        <f>soc!N813</f>
        <v>7.8377480067513883E-2</v>
      </c>
      <c r="I805">
        <f t="shared" si="24"/>
        <v>1651</v>
      </c>
      <c r="J805">
        <f t="shared" si="25"/>
        <v>660</v>
      </c>
    </row>
    <row r="806" spans="7:10" x14ac:dyDescent="0.3">
      <c r="G806">
        <f>both!N814</f>
        <v>0.8429284999026917</v>
      </c>
      <c r="H806">
        <f>soc!N814</f>
        <v>6.576588251438459E-3</v>
      </c>
      <c r="I806">
        <f t="shared" si="24"/>
        <v>1699</v>
      </c>
      <c r="J806">
        <f t="shared" si="25"/>
        <v>376</v>
      </c>
    </row>
    <row r="807" spans="7:10" x14ac:dyDescent="0.3">
      <c r="G807">
        <f>both!N815</f>
        <v>0.64484751051127676</v>
      </c>
      <c r="H807">
        <f>soc!N815</f>
        <v>0.98199324941184529</v>
      </c>
      <c r="I807">
        <f t="shared" si="24"/>
        <v>1321</v>
      </c>
      <c r="J807">
        <f t="shared" si="25"/>
        <v>1966</v>
      </c>
    </row>
    <row r="808" spans="7:10" x14ac:dyDescent="0.3">
      <c r="G808">
        <f>both!N816</f>
        <v>0.93902543258002014</v>
      </c>
      <c r="H808">
        <f>soc!N816</f>
        <v>0.17477284183688899</v>
      </c>
      <c r="I808">
        <f t="shared" si="24"/>
        <v>1899</v>
      </c>
      <c r="J808">
        <f t="shared" si="25"/>
        <v>745</v>
      </c>
    </row>
    <row r="809" spans="7:10" x14ac:dyDescent="0.3">
      <c r="G809">
        <f>both!N817</f>
        <v>0.70243715645527915</v>
      </c>
      <c r="H809">
        <f>soc!N817</f>
        <v>0.97164110776928259</v>
      </c>
      <c r="I809">
        <f t="shared" si="24"/>
        <v>1417</v>
      </c>
      <c r="J809">
        <f t="shared" si="25"/>
        <v>1953</v>
      </c>
    </row>
    <row r="810" spans="7:10" x14ac:dyDescent="0.3">
      <c r="G810">
        <f>both!N818</f>
        <v>0.32002886644923573</v>
      </c>
      <c r="H810">
        <f>soc!N818</f>
        <v>3.7562050643900084E-3</v>
      </c>
      <c r="I810">
        <f t="shared" si="24"/>
        <v>872</v>
      </c>
      <c r="J810">
        <f t="shared" si="25"/>
        <v>306</v>
      </c>
    </row>
    <row r="811" spans="7:10" x14ac:dyDescent="0.3">
      <c r="G811">
        <f>both!N819</f>
        <v>0.92169753443969016</v>
      </c>
      <c r="H811">
        <f>soc!N819</f>
        <v>2.0030744534532144E-2</v>
      </c>
      <c r="I811">
        <f t="shared" si="24"/>
        <v>1868</v>
      </c>
      <c r="J811">
        <f t="shared" si="25"/>
        <v>506</v>
      </c>
    </row>
    <row r="812" spans="7:10" x14ac:dyDescent="0.3">
      <c r="G812">
        <f>both!N820</f>
        <v>0.83601515973223717</v>
      </c>
      <c r="H812">
        <f>soc!N820</f>
        <v>5.2235776421738912E-4</v>
      </c>
      <c r="I812">
        <f t="shared" si="24"/>
        <v>1684</v>
      </c>
      <c r="J812">
        <f t="shared" si="25"/>
        <v>130</v>
      </c>
    </row>
    <row r="813" spans="7:10" x14ac:dyDescent="0.3">
      <c r="G813">
        <f>both!N821</f>
        <v>0.69154668038420841</v>
      </c>
      <c r="H813">
        <f>soc!N821</f>
        <v>0.73414296975987026</v>
      </c>
      <c r="I813">
        <f t="shared" si="24"/>
        <v>1398</v>
      </c>
      <c r="J813">
        <f t="shared" si="25"/>
        <v>1477</v>
      </c>
    </row>
    <row r="814" spans="7:10" x14ac:dyDescent="0.3">
      <c r="G814">
        <f>both!N822</f>
        <v>0.94549613859307358</v>
      </c>
      <c r="H814">
        <f>soc!N822</f>
        <v>1.181514021211445E-3</v>
      </c>
      <c r="I814">
        <f t="shared" si="24"/>
        <v>1913</v>
      </c>
      <c r="J814">
        <f t="shared" si="25"/>
        <v>186</v>
      </c>
    </row>
    <row r="815" spans="7:10" x14ac:dyDescent="0.3">
      <c r="G815">
        <f>both!N823</f>
        <v>0.82467974151992685</v>
      </c>
      <c r="H815">
        <f>soc!N823</f>
        <v>6.8312167431143446E-4</v>
      </c>
      <c r="I815">
        <f t="shared" si="24"/>
        <v>1653</v>
      </c>
      <c r="J815">
        <f t="shared" si="25"/>
        <v>148</v>
      </c>
    </row>
    <row r="816" spans="7:10" x14ac:dyDescent="0.3">
      <c r="G816">
        <f>both!N824</f>
        <v>0.82095967636881995</v>
      </c>
      <c r="H816">
        <f>soc!N824</f>
        <v>0.92715695816631072</v>
      </c>
      <c r="I816">
        <f t="shared" si="24"/>
        <v>1643</v>
      </c>
      <c r="J816">
        <f t="shared" si="25"/>
        <v>1880</v>
      </c>
    </row>
    <row r="817" spans="7:10" x14ac:dyDescent="0.3">
      <c r="G817">
        <f>both!N825</f>
        <v>0.51918764958598251</v>
      </c>
      <c r="H817">
        <f>soc!N825</f>
        <v>0.30538949266123733</v>
      </c>
      <c r="I817">
        <f t="shared" si="24"/>
        <v>1127</v>
      </c>
      <c r="J817">
        <f t="shared" si="25"/>
        <v>855</v>
      </c>
    </row>
    <row r="818" spans="7:10" x14ac:dyDescent="0.3">
      <c r="G818">
        <f>both!N826</f>
        <v>0.47490649443501232</v>
      </c>
      <c r="H818">
        <f>soc!N826</f>
        <v>0.9534581799793278</v>
      </c>
      <c r="I818">
        <f t="shared" si="24"/>
        <v>1064</v>
      </c>
      <c r="J818">
        <f t="shared" si="25"/>
        <v>1931</v>
      </c>
    </row>
    <row r="819" spans="7:10" x14ac:dyDescent="0.3">
      <c r="G819">
        <f>both!N827</f>
        <v>0.3844003123238392</v>
      </c>
      <c r="H819">
        <f>soc!N827</f>
        <v>8.4441611624584384E-2</v>
      </c>
      <c r="I819">
        <f t="shared" si="24"/>
        <v>953</v>
      </c>
      <c r="J819">
        <f t="shared" si="25"/>
        <v>667</v>
      </c>
    </row>
    <row r="820" spans="7:10" x14ac:dyDescent="0.3">
      <c r="G820">
        <f>both!N828</f>
        <v>0.642470179055604</v>
      </c>
      <c r="H820">
        <f>soc!N828</f>
        <v>2.8102962418516115E-3</v>
      </c>
      <c r="I820">
        <f t="shared" si="24"/>
        <v>1317</v>
      </c>
      <c r="J820">
        <f t="shared" si="25"/>
        <v>274</v>
      </c>
    </row>
    <row r="821" spans="7:10" x14ac:dyDescent="0.3">
      <c r="G821">
        <f>both!N829</f>
        <v>0.81250641301169013</v>
      </c>
      <c r="H821">
        <f>soc!N829</f>
        <v>0.99980981808305114</v>
      </c>
      <c r="I821">
        <f t="shared" si="24"/>
        <v>1626</v>
      </c>
      <c r="J821">
        <f t="shared" si="25"/>
        <v>1992</v>
      </c>
    </row>
    <row r="822" spans="7:10" x14ac:dyDescent="0.3">
      <c r="G822">
        <f>both!N830</f>
        <v>0.89934382942903657</v>
      </c>
      <c r="H822">
        <f>soc!N830</f>
        <v>3.3861579202621415E-4</v>
      </c>
      <c r="I822">
        <f t="shared" si="24"/>
        <v>1825</v>
      </c>
      <c r="J822">
        <f t="shared" si="25"/>
        <v>105</v>
      </c>
    </row>
    <row r="823" spans="7:10" x14ac:dyDescent="0.3">
      <c r="G823">
        <f>both!N831</f>
        <v>0.71283879343612011</v>
      </c>
      <c r="H823">
        <f>soc!N831</f>
        <v>0.97036529978469899</v>
      </c>
      <c r="I823">
        <f t="shared" si="24"/>
        <v>1436</v>
      </c>
      <c r="J823">
        <f t="shared" si="25"/>
        <v>1951</v>
      </c>
    </row>
    <row r="824" spans="7:10" x14ac:dyDescent="0.3">
      <c r="G824">
        <f>both!N832</f>
        <v>0.25538603179355057</v>
      </c>
      <c r="H824">
        <f>soc!N832</f>
        <v>5.6788733751257647E-3</v>
      </c>
      <c r="I824">
        <f t="shared" si="24"/>
        <v>812</v>
      </c>
      <c r="J824">
        <f t="shared" si="25"/>
        <v>364</v>
      </c>
    </row>
    <row r="825" spans="7:10" x14ac:dyDescent="0.3">
      <c r="G825">
        <f>both!N833</f>
        <v>0.86554960471478282</v>
      </c>
      <c r="H825">
        <f>soc!N833</f>
        <v>2.2798553590168431E-3</v>
      </c>
      <c r="I825">
        <f t="shared" si="24"/>
        <v>1757</v>
      </c>
      <c r="J825">
        <f t="shared" si="25"/>
        <v>261</v>
      </c>
    </row>
    <row r="826" spans="7:10" x14ac:dyDescent="0.3">
      <c r="G826">
        <f>both!N834</f>
        <v>0.79239030398127508</v>
      </c>
      <c r="H826">
        <f>soc!N834</f>
        <v>1.0069837858601241E-3</v>
      </c>
      <c r="I826">
        <f t="shared" si="24"/>
        <v>1588</v>
      </c>
      <c r="J826">
        <f t="shared" si="25"/>
        <v>175</v>
      </c>
    </row>
    <row r="827" spans="7:10" x14ac:dyDescent="0.3">
      <c r="G827">
        <f>both!N835</f>
        <v>0.29769487406633877</v>
      </c>
      <c r="H827">
        <f>soc!N835</f>
        <v>0.16862674583340301</v>
      </c>
      <c r="I827">
        <f t="shared" si="24"/>
        <v>845</v>
      </c>
      <c r="J827">
        <f t="shared" si="25"/>
        <v>741</v>
      </c>
    </row>
    <row r="828" spans="7:10" x14ac:dyDescent="0.3">
      <c r="G828">
        <f>both!N836</f>
        <v>0.59960374908799219</v>
      </c>
      <c r="H828">
        <f>soc!N836</f>
        <v>0.19498732582396341</v>
      </c>
      <c r="I828">
        <f t="shared" si="24"/>
        <v>1259</v>
      </c>
      <c r="J828">
        <f t="shared" si="25"/>
        <v>768</v>
      </c>
    </row>
    <row r="829" spans="7:10" x14ac:dyDescent="0.3">
      <c r="G829">
        <f>both!N837</f>
        <v>0.70088066398500271</v>
      </c>
      <c r="H829">
        <f>soc!N837</f>
        <v>9.4686863848313563E-4</v>
      </c>
      <c r="I829">
        <f t="shared" si="24"/>
        <v>1415</v>
      </c>
      <c r="J829">
        <f t="shared" si="25"/>
        <v>170</v>
      </c>
    </row>
    <row r="830" spans="7:10" x14ac:dyDescent="0.3">
      <c r="G830">
        <f>both!N838</f>
        <v>0.71033056239489722</v>
      </c>
      <c r="H830">
        <f>soc!N838</f>
        <v>1.4480854264407258E-3</v>
      </c>
      <c r="I830">
        <f t="shared" si="24"/>
        <v>1430</v>
      </c>
      <c r="J830">
        <f t="shared" si="25"/>
        <v>210</v>
      </c>
    </row>
    <row r="831" spans="7:10" x14ac:dyDescent="0.3">
      <c r="G831">
        <f>both!N839</f>
        <v>0.98216075662292657</v>
      </c>
      <c r="H831">
        <f>soc!N839</f>
        <v>8.0338811827931661E-4</v>
      </c>
      <c r="I831">
        <f t="shared" si="24"/>
        <v>1967</v>
      </c>
      <c r="J831">
        <f t="shared" si="25"/>
        <v>157</v>
      </c>
    </row>
    <row r="832" spans="7:10" x14ac:dyDescent="0.3">
      <c r="G832">
        <f>both!N840</f>
        <v>0.54646672305048127</v>
      </c>
      <c r="H832">
        <f>soc!N840</f>
        <v>1.4781354512518044E-2</v>
      </c>
      <c r="I832">
        <f t="shared" si="24"/>
        <v>1170</v>
      </c>
      <c r="J832">
        <f t="shared" si="25"/>
        <v>470</v>
      </c>
    </row>
    <row r="833" spans="7:10" x14ac:dyDescent="0.3">
      <c r="G833">
        <f>both!N841</f>
        <v>0.67512018638835825</v>
      </c>
      <c r="H833">
        <f>soc!N841</f>
        <v>5.666008221519179E-3</v>
      </c>
      <c r="I833">
        <f t="shared" si="24"/>
        <v>1370</v>
      </c>
      <c r="J833">
        <f t="shared" si="25"/>
        <v>362</v>
      </c>
    </row>
    <row r="834" spans="7:10" x14ac:dyDescent="0.3">
      <c r="G834">
        <f>both!N842</f>
        <v>0.44153374429256043</v>
      </c>
      <c r="H834">
        <f>soc!N842</f>
        <v>0.12730259591192536</v>
      </c>
      <c r="I834">
        <f t="shared" si="24"/>
        <v>1020</v>
      </c>
      <c r="J834">
        <f t="shared" si="25"/>
        <v>713</v>
      </c>
    </row>
    <row r="835" spans="7:10" x14ac:dyDescent="0.3">
      <c r="G835">
        <f>both!N843</f>
        <v>0.59361054395565538</v>
      </c>
      <c r="H835">
        <f>soc!N843</f>
        <v>0.23964181217085484</v>
      </c>
      <c r="I835">
        <f t="shared" si="24"/>
        <v>1249</v>
      </c>
      <c r="J835">
        <f t="shared" si="25"/>
        <v>799</v>
      </c>
    </row>
    <row r="836" spans="7:10" x14ac:dyDescent="0.3">
      <c r="G836">
        <f>both!N844</f>
        <v>0.804218843166429</v>
      </c>
      <c r="H836">
        <f>soc!N844</f>
        <v>0.13166262539969456</v>
      </c>
      <c r="I836">
        <f t="shared" si="24"/>
        <v>1614</v>
      </c>
      <c r="J836">
        <f t="shared" si="25"/>
        <v>716</v>
      </c>
    </row>
    <row r="837" spans="7:10" x14ac:dyDescent="0.3">
      <c r="G837">
        <f>both!N845</f>
        <v>0.85942583289302332</v>
      </c>
      <c r="H837">
        <f>soc!N845</f>
        <v>1.7658472469818606E-2</v>
      </c>
      <c r="I837">
        <f t="shared" ref="I837:I900" si="26">RANK(G837,$G$4:$H$1004,1) + (COUNTIF($G$4:$H$1004,G837)-1)/2</f>
        <v>1731</v>
      </c>
      <c r="J837">
        <f t="shared" ref="J837:J900" si="27">RANK(H837,$G$4:$H$1004,1) + (COUNTIF($G$4:$H$1004,H837)-1)/2</f>
        <v>488</v>
      </c>
    </row>
    <row r="838" spans="7:10" x14ac:dyDescent="0.3">
      <c r="G838">
        <f>both!N846</f>
        <v>0.57685527612244647</v>
      </c>
      <c r="H838">
        <f>soc!N846</f>
        <v>4.5551251885799247E-2</v>
      </c>
      <c r="I838">
        <f t="shared" si="26"/>
        <v>1217</v>
      </c>
      <c r="J838">
        <f t="shared" si="27"/>
        <v>601</v>
      </c>
    </row>
    <row r="839" spans="7:10" x14ac:dyDescent="0.3">
      <c r="G839">
        <f>both!N847</f>
        <v>0.6872559930797385</v>
      </c>
      <c r="H839">
        <f>soc!N847</f>
        <v>1.6625998533164647E-2</v>
      </c>
      <c r="I839">
        <f t="shared" si="26"/>
        <v>1389</v>
      </c>
      <c r="J839">
        <f t="shared" si="27"/>
        <v>479</v>
      </c>
    </row>
    <row r="840" spans="7:10" x14ac:dyDescent="0.3">
      <c r="G840">
        <f>both!N848</f>
        <v>0.50913192236245908</v>
      </c>
      <c r="H840">
        <f>soc!N848</f>
        <v>0.51252650956496293</v>
      </c>
      <c r="I840">
        <f t="shared" si="26"/>
        <v>1108</v>
      </c>
      <c r="J840">
        <f t="shared" si="27"/>
        <v>1115</v>
      </c>
    </row>
    <row r="841" spans="7:10" x14ac:dyDescent="0.3">
      <c r="G841">
        <f>both!N849</f>
        <v>0.56740874987806555</v>
      </c>
      <c r="H841">
        <f>soc!N849</f>
        <v>1.7106222794558326E-2</v>
      </c>
      <c r="I841">
        <f t="shared" si="26"/>
        <v>1203</v>
      </c>
      <c r="J841">
        <f t="shared" si="27"/>
        <v>483</v>
      </c>
    </row>
    <row r="842" spans="7:10" x14ac:dyDescent="0.3">
      <c r="G842">
        <f>both!N850</f>
        <v>0.678287328883314</v>
      </c>
      <c r="H842">
        <f>soc!N850</f>
        <v>0.33012518380892547</v>
      </c>
      <c r="I842">
        <f t="shared" si="26"/>
        <v>1371</v>
      </c>
      <c r="J842">
        <f t="shared" si="27"/>
        <v>883</v>
      </c>
    </row>
    <row r="843" spans="7:10" x14ac:dyDescent="0.3">
      <c r="G843">
        <f>both!N851</f>
        <v>0.4676614401311403</v>
      </c>
      <c r="H843">
        <f>soc!N851</f>
        <v>7.1429814028835428E-2</v>
      </c>
      <c r="I843">
        <f t="shared" si="26"/>
        <v>1054</v>
      </c>
      <c r="J843">
        <f t="shared" si="27"/>
        <v>652</v>
      </c>
    </row>
    <row r="844" spans="7:10" x14ac:dyDescent="0.3">
      <c r="G844">
        <f>both!N852</f>
        <v>0.65890517516510783</v>
      </c>
      <c r="H844">
        <f>soc!N852</f>
        <v>1.5394367233928187E-3</v>
      </c>
      <c r="I844">
        <f t="shared" si="26"/>
        <v>1339</v>
      </c>
      <c r="J844">
        <f t="shared" si="27"/>
        <v>219</v>
      </c>
    </row>
    <row r="845" spans="7:10" x14ac:dyDescent="0.3">
      <c r="G845">
        <f>both!N853</f>
        <v>0.77062904096812201</v>
      </c>
      <c r="H845">
        <f>soc!N853</f>
        <v>1.2052935367749189E-3</v>
      </c>
      <c r="I845">
        <f t="shared" si="26"/>
        <v>1558</v>
      </c>
      <c r="J845">
        <f t="shared" si="27"/>
        <v>189</v>
      </c>
    </row>
    <row r="846" spans="7:10" x14ac:dyDescent="0.3">
      <c r="G846">
        <f>both!N854</f>
        <v>0.71686192540421301</v>
      </c>
      <c r="H846">
        <f>soc!N854</f>
        <v>1.4372037330228135E-2</v>
      </c>
      <c r="I846">
        <f t="shared" si="26"/>
        <v>1445</v>
      </c>
      <c r="J846">
        <f t="shared" si="27"/>
        <v>466</v>
      </c>
    </row>
    <row r="847" spans="7:10" x14ac:dyDescent="0.3">
      <c r="G847">
        <f>both!N855</f>
        <v>0.87241390177833777</v>
      </c>
      <c r="H847">
        <f>soc!N855</f>
        <v>6.7463992358334599E-2</v>
      </c>
      <c r="I847">
        <f t="shared" si="26"/>
        <v>1773</v>
      </c>
      <c r="J847">
        <f t="shared" si="27"/>
        <v>645</v>
      </c>
    </row>
    <row r="848" spans="7:10" x14ac:dyDescent="0.3">
      <c r="G848">
        <f>both!N856</f>
        <v>0.39900280054643067</v>
      </c>
      <c r="H848">
        <f>soc!N856</f>
        <v>0.99997528883336051</v>
      </c>
      <c r="I848">
        <f t="shared" si="26"/>
        <v>973</v>
      </c>
      <c r="J848">
        <f t="shared" si="27"/>
        <v>1998</v>
      </c>
    </row>
    <row r="849" spans="7:10" x14ac:dyDescent="0.3">
      <c r="G849">
        <f>both!N857</f>
        <v>0.63146727643535472</v>
      </c>
      <c r="H849">
        <f>soc!N857</f>
        <v>6.7616454198741712E-5</v>
      </c>
      <c r="I849">
        <f t="shared" si="26"/>
        <v>1295</v>
      </c>
      <c r="J849">
        <f t="shared" si="27"/>
        <v>39</v>
      </c>
    </row>
    <row r="850" spans="7:10" x14ac:dyDescent="0.3">
      <c r="G850">
        <f>both!N858</f>
        <v>0.33969275937283849</v>
      </c>
      <c r="H850">
        <f>soc!N858</f>
        <v>3.2431022467697045E-2</v>
      </c>
      <c r="I850">
        <f t="shared" si="26"/>
        <v>899</v>
      </c>
      <c r="J850">
        <f t="shared" si="27"/>
        <v>563</v>
      </c>
    </row>
    <row r="851" spans="7:10" x14ac:dyDescent="0.3">
      <c r="G851">
        <f>both!N859</f>
        <v>0.36167164193217183</v>
      </c>
      <c r="H851">
        <f>soc!N859</f>
        <v>8.8814636811208755E-2</v>
      </c>
      <c r="I851">
        <f t="shared" si="26"/>
        <v>923</v>
      </c>
      <c r="J851">
        <f t="shared" si="27"/>
        <v>672</v>
      </c>
    </row>
    <row r="852" spans="7:10" x14ac:dyDescent="0.3">
      <c r="G852">
        <f>both!N860</f>
        <v>0.36623602582800718</v>
      </c>
      <c r="H852">
        <f>soc!N860</f>
        <v>2.183732168672447E-3</v>
      </c>
      <c r="I852">
        <f t="shared" si="26"/>
        <v>930</v>
      </c>
      <c r="J852">
        <f t="shared" si="27"/>
        <v>257</v>
      </c>
    </row>
    <row r="853" spans="7:10" x14ac:dyDescent="0.3">
      <c r="G853">
        <f>both!N861</f>
        <v>0.46533848376804576</v>
      </c>
      <c r="H853">
        <f>soc!N861</f>
        <v>1.7708866948351217E-3</v>
      </c>
      <c r="I853">
        <f t="shared" si="26"/>
        <v>1052</v>
      </c>
      <c r="J853">
        <f t="shared" si="27"/>
        <v>235</v>
      </c>
    </row>
    <row r="854" spans="7:10" x14ac:dyDescent="0.3">
      <c r="G854">
        <f>both!N862</f>
        <v>0.72132531479778317</v>
      </c>
      <c r="H854">
        <f>soc!N862</f>
        <v>4.7622718397493581E-2</v>
      </c>
      <c r="I854">
        <f t="shared" si="26"/>
        <v>1459</v>
      </c>
      <c r="J854">
        <f t="shared" si="27"/>
        <v>607</v>
      </c>
    </row>
    <row r="855" spans="7:10" x14ac:dyDescent="0.3">
      <c r="G855">
        <f>both!N863</f>
        <v>0.36774929309254178</v>
      </c>
      <c r="H855">
        <f>soc!N863</f>
        <v>1.4392706715718351E-2</v>
      </c>
      <c r="I855">
        <f t="shared" si="26"/>
        <v>933</v>
      </c>
      <c r="J855">
        <f t="shared" si="27"/>
        <v>467</v>
      </c>
    </row>
    <row r="856" spans="7:10" x14ac:dyDescent="0.3">
      <c r="G856">
        <f>both!N864</f>
        <v>0.30778186995485862</v>
      </c>
      <c r="H856">
        <f>soc!N864</f>
        <v>2.3620673956489958E-2</v>
      </c>
      <c r="I856">
        <f t="shared" si="26"/>
        <v>857</v>
      </c>
      <c r="J856">
        <f t="shared" si="27"/>
        <v>527</v>
      </c>
    </row>
    <row r="857" spans="7:10" x14ac:dyDescent="0.3">
      <c r="G857">
        <f>both!N865</f>
        <v>0.61247965039140007</v>
      </c>
      <c r="H857">
        <f>soc!N865</f>
        <v>0.45942345199832224</v>
      </c>
      <c r="I857">
        <f t="shared" si="26"/>
        <v>1274</v>
      </c>
      <c r="J857">
        <f t="shared" si="27"/>
        <v>1044</v>
      </c>
    </row>
    <row r="858" spans="7:10" x14ac:dyDescent="0.3">
      <c r="G858">
        <f>both!N866</f>
        <v>0.93943346401438332</v>
      </c>
      <c r="H858">
        <f>soc!N866</f>
        <v>6.8404801085871991E-2</v>
      </c>
      <c r="I858">
        <f t="shared" si="26"/>
        <v>1900</v>
      </c>
      <c r="J858">
        <f t="shared" si="27"/>
        <v>647</v>
      </c>
    </row>
    <row r="859" spans="7:10" x14ac:dyDescent="0.3">
      <c r="G859">
        <f>both!N867</f>
        <v>0.71979658744101749</v>
      </c>
      <c r="H859">
        <f>soc!N867</f>
        <v>3.8914628970037615E-4</v>
      </c>
      <c r="I859">
        <f t="shared" si="26"/>
        <v>1452</v>
      </c>
      <c r="J859">
        <f t="shared" si="27"/>
        <v>113</v>
      </c>
    </row>
    <row r="860" spans="7:10" x14ac:dyDescent="0.3">
      <c r="G860">
        <f>both!N868</f>
        <v>0.33823061027408324</v>
      </c>
      <c r="H860">
        <f>soc!N868</f>
        <v>6.9436075853260082E-3</v>
      </c>
      <c r="I860">
        <f t="shared" si="26"/>
        <v>895</v>
      </c>
      <c r="J860">
        <f t="shared" si="27"/>
        <v>379</v>
      </c>
    </row>
    <row r="861" spans="7:10" x14ac:dyDescent="0.3">
      <c r="G861">
        <f>both!N869</f>
        <v>0.71960367638045519</v>
      </c>
      <c r="H861">
        <f>soc!N869</f>
        <v>5.6753309549498754E-3</v>
      </c>
      <c r="I861">
        <f t="shared" si="26"/>
        <v>1450</v>
      </c>
      <c r="J861">
        <f t="shared" si="27"/>
        <v>363</v>
      </c>
    </row>
    <row r="862" spans="7:10" x14ac:dyDescent="0.3">
      <c r="G862">
        <f>both!N870</f>
        <v>0.86175949231818461</v>
      </c>
      <c r="H862">
        <f>soc!N870</f>
        <v>0.35599504768531243</v>
      </c>
      <c r="I862">
        <f t="shared" si="26"/>
        <v>1743</v>
      </c>
      <c r="J862">
        <f t="shared" si="27"/>
        <v>920</v>
      </c>
    </row>
    <row r="863" spans="7:10" x14ac:dyDescent="0.3">
      <c r="G863">
        <f>both!N871</f>
        <v>0.51150713128301351</v>
      </c>
      <c r="H863">
        <f>soc!N871</f>
        <v>8.5989694207549774E-3</v>
      </c>
      <c r="I863">
        <f t="shared" si="26"/>
        <v>1112</v>
      </c>
      <c r="J863">
        <f t="shared" si="27"/>
        <v>408</v>
      </c>
    </row>
    <row r="864" spans="7:10" x14ac:dyDescent="0.3">
      <c r="G864">
        <f>both!N872</f>
        <v>0.92216142385194111</v>
      </c>
      <c r="H864">
        <f>soc!N872</f>
        <v>0.98745942114959329</v>
      </c>
      <c r="I864">
        <f t="shared" si="26"/>
        <v>1870</v>
      </c>
      <c r="J864">
        <f t="shared" si="27"/>
        <v>1977</v>
      </c>
    </row>
    <row r="865" spans="7:10" x14ac:dyDescent="0.3">
      <c r="G865">
        <f>both!N873</f>
        <v>0.76836080736515566</v>
      </c>
      <c r="H865">
        <f>soc!N873</f>
        <v>0.98168817449074197</v>
      </c>
      <c r="I865">
        <f t="shared" si="26"/>
        <v>1554</v>
      </c>
      <c r="J865">
        <f t="shared" si="27"/>
        <v>1965</v>
      </c>
    </row>
    <row r="866" spans="7:10" x14ac:dyDescent="0.3">
      <c r="G866">
        <f>both!N874</f>
        <v>0.51328609591234153</v>
      </c>
      <c r="H866">
        <f>soc!N874</f>
        <v>2.3985616730839406E-3</v>
      </c>
      <c r="I866">
        <f t="shared" si="26"/>
        <v>1117</v>
      </c>
      <c r="J866">
        <f t="shared" si="27"/>
        <v>265</v>
      </c>
    </row>
    <row r="867" spans="7:10" x14ac:dyDescent="0.3">
      <c r="G867">
        <f>both!N875</f>
        <v>0.71036636387918628</v>
      </c>
      <c r="H867">
        <f>soc!N875</f>
        <v>0.30690900211182298</v>
      </c>
      <c r="I867">
        <f t="shared" si="26"/>
        <v>1431</v>
      </c>
      <c r="J867">
        <f t="shared" si="27"/>
        <v>856</v>
      </c>
    </row>
    <row r="868" spans="7:10" x14ac:dyDescent="0.3">
      <c r="G868">
        <f>both!N876</f>
        <v>0.7619041035361882</v>
      </c>
      <c r="H868">
        <f>soc!N876</f>
        <v>0.63031284100089124</v>
      </c>
      <c r="I868">
        <f t="shared" si="26"/>
        <v>1540</v>
      </c>
      <c r="J868">
        <f t="shared" si="27"/>
        <v>1293</v>
      </c>
    </row>
    <row r="869" spans="7:10" x14ac:dyDescent="0.3">
      <c r="G869">
        <f>both!N877</f>
        <v>0.73770537313475271</v>
      </c>
      <c r="H869">
        <f>soc!N877</f>
        <v>2.1728542800964704E-2</v>
      </c>
      <c r="I869">
        <f t="shared" si="26"/>
        <v>1490</v>
      </c>
      <c r="J869">
        <f t="shared" si="27"/>
        <v>514</v>
      </c>
    </row>
    <row r="870" spans="7:10" x14ac:dyDescent="0.3">
      <c r="G870">
        <f>both!N878</f>
        <v>0.91649639217412771</v>
      </c>
      <c r="H870">
        <f>soc!N878</f>
        <v>2.2423411162790286E-5</v>
      </c>
      <c r="I870">
        <f t="shared" si="26"/>
        <v>1857</v>
      </c>
      <c r="J870">
        <f t="shared" si="27"/>
        <v>18</v>
      </c>
    </row>
    <row r="871" spans="7:10" x14ac:dyDescent="0.3">
      <c r="G871">
        <f>both!N879</f>
        <v>0.79288025723516475</v>
      </c>
      <c r="H871">
        <f>soc!N879</f>
        <v>6.446553066827349E-3</v>
      </c>
      <c r="I871">
        <f t="shared" si="26"/>
        <v>1589</v>
      </c>
      <c r="J871">
        <f t="shared" si="27"/>
        <v>374</v>
      </c>
    </row>
    <row r="872" spans="7:10" x14ac:dyDescent="0.3">
      <c r="G872">
        <f>both!N880</f>
        <v>0.82324811618991811</v>
      </c>
      <c r="H872">
        <f>soc!N880</f>
        <v>2.6398336941815578E-2</v>
      </c>
      <c r="I872">
        <f t="shared" si="26"/>
        <v>1648</v>
      </c>
      <c r="J872">
        <f t="shared" si="27"/>
        <v>539</v>
      </c>
    </row>
    <row r="873" spans="7:10" x14ac:dyDescent="0.3">
      <c r="G873">
        <f>both!N881</f>
        <v>0.68293082911929937</v>
      </c>
      <c r="H873">
        <f>soc!N881</f>
        <v>9.1793676891878083E-3</v>
      </c>
      <c r="I873">
        <f t="shared" si="26"/>
        <v>1381</v>
      </c>
      <c r="J873">
        <f t="shared" si="27"/>
        <v>421</v>
      </c>
    </row>
    <row r="874" spans="7:10" x14ac:dyDescent="0.3">
      <c r="G874">
        <f>both!N882</f>
        <v>0.53152823197268118</v>
      </c>
      <c r="H874">
        <f>soc!N882</f>
        <v>6.6496797664462023E-2</v>
      </c>
      <c r="I874">
        <f t="shared" si="26"/>
        <v>1147</v>
      </c>
      <c r="J874">
        <f t="shared" si="27"/>
        <v>644</v>
      </c>
    </row>
    <row r="875" spans="7:10" x14ac:dyDescent="0.3">
      <c r="G875">
        <f>both!N883</f>
        <v>0.89130779322890918</v>
      </c>
      <c r="H875">
        <f>soc!N883</f>
        <v>5.7494174094029647E-5</v>
      </c>
      <c r="I875">
        <f t="shared" si="26"/>
        <v>1810</v>
      </c>
      <c r="J875">
        <f t="shared" si="27"/>
        <v>36</v>
      </c>
    </row>
    <row r="876" spans="7:10" x14ac:dyDescent="0.3">
      <c r="G876">
        <f>both!N884</f>
        <v>0.68814612485156545</v>
      </c>
      <c r="H876">
        <f>soc!N884</f>
        <v>1.072094686559551E-3</v>
      </c>
      <c r="I876">
        <f t="shared" si="26"/>
        <v>1390</v>
      </c>
      <c r="J876">
        <f t="shared" si="27"/>
        <v>178</v>
      </c>
    </row>
    <row r="877" spans="7:10" x14ac:dyDescent="0.3">
      <c r="G877">
        <f>both!N885</f>
        <v>0.80041476198253014</v>
      </c>
      <c r="H877">
        <f>soc!N885</f>
        <v>8.35026962514567E-3</v>
      </c>
      <c r="I877">
        <f t="shared" si="26"/>
        <v>1607</v>
      </c>
      <c r="J877">
        <f t="shared" si="27"/>
        <v>405</v>
      </c>
    </row>
    <row r="878" spans="7:10" x14ac:dyDescent="0.3">
      <c r="G878">
        <f>both!N886</f>
        <v>0.75756989053150492</v>
      </c>
      <c r="H878">
        <f>soc!N886</f>
        <v>2.8997663380877484E-4</v>
      </c>
      <c r="I878">
        <f t="shared" si="26"/>
        <v>1530</v>
      </c>
      <c r="J878">
        <f t="shared" si="27"/>
        <v>99</v>
      </c>
    </row>
    <row r="879" spans="7:10" x14ac:dyDescent="0.3">
      <c r="G879">
        <f>both!N887</f>
        <v>0.34996901302890199</v>
      </c>
      <c r="H879">
        <f>soc!N887</f>
        <v>1.2035662866255016E-2</v>
      </c>
      <c r="I879">
        <f t="shared" si="26"/>
        <v>907</v>
      </c>
      <c r="J879">
        <f t="shared" si="27"/>
        <v>445</v>
      </c>
    </row>
    <row r="880" spans="7:10" x14ac:dyDescent="0.3">
      <c r="G880">
        <f>both!N888</f>
        <v>0.85955479579812832</v>
      </c>
      <c r="H880">
        <f>soc!N888</f>
        <v>1.8332042110087089E-4</v>
      </c>
      <c r="I880">
        <f t="shared" si="26"/>
        <v>1732</v>
      </c>
      <c r="J880">
        <f t="shared" si="27"/>
        <v>75</v>
      </c>
    </row>
    <row r="881" spans="7:10" x14ac:dyDescent="0.3">
      <c r="G881">
        <f>both!N889</f>
        <v>0.8897088207741275</v>
      </c>
      <c r="H881">
        <f>soc!N889</f>
        <v>2.8261798678620277E-3</v>
      </c>
      <c r="I881">
        <f t="shared" si="26"/>
        <v>1806</v>
      </c>
      <c r="J881">
        <f t="shared" si="27"/>
        <v>276</v>
      </c>
    </row>
    <row r="882" spans="7:10" x14ac:dyDescent="0.3">
      <c r="G882">
        <f>both!N890</f>
        <v>0.59933188713814856</v>
      </c>
      <c r="H882">
        <f>soc!N890</f>
        <v>2.5423614748205401E-2</v>
      </c>
      <c r="I882">
        <f t="shared" si="26"/>
        <v>1258</v>
      </c>
      <c r="J882">
        <f t="shared" si="27"/>
        <v>536</v>
      </c>
    </row>
    <row r="883" spans="7:10" x14ac:dyDescent="0.3">
      <c r="G883">
        <f>both!N891</f>
        <v>0.41094147726468971</v>
      </c>
      <c r="H883">
        <f>soc!N891</f>
        <v>2.955389039993784E-3</v>
      </c>
      <c r="I883">
        <f t="shared" si="26"/>
        <v>990</v>
      </c>
      <c r="J883">
        <f t="shared" si="27"/>
        <v>284</v>
      </c>
    </row>
    <row r="884" spans="7:10" x14ac:dyDescent="0.3">
      <c r="G884">
        <f>both!N892</f>
        <v>0.35244773399567492</v>
      </c>
      <c r="H884">
        <f>soc!N892</f>
        <v>6.571534964582855E-2</v>
      </c>
      <c r="I884">
        <f t="shared" si="26"/>
        <v>914</v>
      </c>
      <c r="J884">
        <f t="shared" si="27"/>
        <v>643</v>
      </c>
    </row>
    <row r="885" spans="7:10" x14ac:dyDescent="0.3">
      <c r="G885">
        <f>both!N893</f>
        <v>0.28574547441514148</v>
      </c>
      <c r="H885">
        <f>soc!N893</f>
        <v>1.6659765223437069E-3</v>
      </c>
      <c r="I885">
        <f t="shared" si="26"/>
        <v>836</v>
      </c>
      <c r="J885">
        <f t="shared" si="27"/>
        <v>227</v>
      </c>
    </row>
    <row r="886" spans="7:10" x14ac:dyDescent="0.3">
      <c r="G886">
        <f>both!N894</f>
        <v>0.47239525301473007</v>
      </c>
      <c r="H886">
        <f>soc!N894</f>
        <v>0.75549698789294673</v>
      </c>
      <c r="I886">
        <f t="shared" si="26"/>
        <v>1060</v>
      </c>
      <c r="J886">
        <f t="shared" si="27"/>
        <v>1524</v>
      </c>
    </row>
    <row r="887" spans="7:10" x14ac:dyDescent="0.3">
      <c r="G887">
        <f>both!N895</f>
        <v>0.85436479311588509</v>
      </c>
      <c r="H887">
        <f>soc!N895</f>
        <v>5.3018327403830598E-4</v>
      </c>
      <c r="I887">
        <f t="shared" si="26"/>
        <v>1719</v>
      </c>
      <c r="J887">
        <f t="shared" si="27"/>
        <v>131</v>
      </c>
    </row>
    <row r="888" spans="7:10" x14ac:dyDescent="0.3">
      <c r="G888">
        <f>both!N896</f>
        <v>0.83129924347168671</v>
      </c>
      <c r="H888">
        <f>soc!N896</f>
        <v>0.45195683942059106</v>
      </c>
      <c r="I888">
        <f t="shared" si="26"/>
        <v>1672</v>
      </c>
      <c r="J888">
        <f t="shared" si="27"/>
        <v>1033</v>
      </c>
    </row>
    <row r="889" spans="7:10" x14ac:dyDescent="0.3">
      <c r="G889">
        <f>both!N897</f>
        <v>0.32929131836592918</v>
      </c>
      <c r="H889">
        <f>soc!N897</f>
        <v>0.55408596502916496</v>
      </c>
      <c r="I889">
        <f t="shared" si="26"/>
        <v>882</v>
      </c>
      <c r="J889">
        <f t="shared" si="27"/>
        <v>1179</v>
      </c>
    </row>
    <row r="890" spans="7:10" x14ac:dyDescent="0.3">
      <c r="G890">
        <f>both!N898</f>
        <v>0.69803657819437903</v>
      </c>
      <c r="H890">
        <f>soc!N898</f>
        <v>3.1040717444560193E-3</v>
      </c>
      <c r="I890">
        <f t="shared" si="26"/>
        <v>1405</v>
      </c>
      <c r="J890">
        <f t="shared" si="27"/>
        <v>288</v>
      </c>
    </row>
    <row r="891" spans="7:10" x14ac:dyDescent="0.3">
      <c r="G891">
        <f>both!N899</f>
        <v>0.97107781685750472</v>
      </c>
      <c r="H891">
        <f>soc!N899</f>
        <v>1.6727483669088741E-2</v>
      </c>
      <c r="I891">
        <f t="shared" si="26"/>
        <v>1952</v>
      </c>
      <c r="J891">
        <f t="shared" si="27"/>
        <v>480</v>
      </c>
    </row>
    <row r="892" spans="7:10" x14ac:dyDescent="0.3">
      <c r="G892">
        <f>both!N900</f>
        <v>0.40908398227981402</v>
      </c>
      <c r="H892">
        <f>soc!N900</f>
        <v>0.31672429551192399</v>
      </c>
      <c r="I892">
        <f t="shared" si="26"/>
        <v>989</v>
      </c>
      <c r="J892">
        <f t="shared" si="27"/>
        <v>870</v>
      </c>
    </row>
    <row r="893" spans="7:10" x14ac:dyDescent="0.3">
      <c r="G893">
        <f>both!N901</f>
        <v>0.68183863466540851</v>
      </c>
      <c r="H893">
        <f>soc!N901</f>
        <v>3.0107147945040275E-4</v>
      </c>
      <c r="I893">
        <f t="shared" si="26"/>
        <v>1377</v>
      </c>
      <c r="J893">
        <f t="shared" si="27"/>
        <v>101</v>
      </c>
    </row>
    <row r="894" spans="7:10" x14ac:dyDescent="0.3">
      <c r="G894">
        <f>both!N902</f>
        <v>0.72892017581114432</v>
      </c>
      <c r="H894">
        <f>soc!N902</f>
        <v>0.74712444394530231</v>
      </c>
      <c r="I894">
        <f t="shared" si="26"/>
        <v>1470</v>
      </c>
      <c r="J894">
        <f t="shared" si="27"/>
        <v>1509</v>
      </c>
    </row>
    <row r="895" spans="7:10" x14ac:dyDescent="0.3">
      <c r="G895">
        <f>both!N903</f>
        <v>0.35436737178936339</v>
      </c>
      <c r="H895">
        <f>soc!N903</f>
        <v>3.2684759213895854E-4</v>
      </c>
      <c r="I895">
        <f t="shared" si="26"/>
        <v>918</v>
      </c>
      <c r="J895">
        <f t="shared" si="27"/>
        <v>104</v>
      </c>
    </row>
    <row r="896" spans="7:10" x14ac:dyDescent="0.3">
      <c r="G896">
        <f>both!N904</f>
        <v>0.38407715146557136</v>
      </c>
      <c r="H896">
        <f>soc!N904</f>
        <v>5.6161586987692171E-2</v>
      </c>
      <c r="I896">
        <f t="shared" si="26"/>
        <v>952</v>
      </c>
      <c r="J896">
        <f t="shared" si="27"/>
        <v>626</v>
      </c>
    </row>
    <row r="897" spans="7:10" x14ac:dyDescent="0.3">
      <c r="G897">
        <f>both!N905</f>
        <v>0.66295516724225378</v>
      </c>
      <c r="H897">
        <f>soc!N905</f>
        <v>3.8470945352773798E-3</v>
      </c>
      <c r="I897">
        <f t="shared" si="26"/>
        <v>1351</v>
      </c>
      <c r="J897">
        <f t="shared" si="27"/>
        <v>307</v>
      </c>
    </row>
    <row r="898" spans="7:10" x14ac:dyDescent="0.3">
      <c r="G898">
        <f>both!N906</f>
        <v>0.42809612261259183</v>
      </c>
      <c r="H898">
        <f>soc!N906</f>
        <v>1.5746480259458723E-3</v>
      </c>
      <c r="I898">
        <f t="shared" si="26"/>
        <v>1007</v>
      </c>
      <c r="J898">
        <f t="shared" si="27"/>
        <v>222</v>
      </c>
    </row>
    <row r="899" spans="7:10" x14ac:dyDescent="0.3">
      <c r="G899">
        <f>both!N907</f>
        <v>0.649818706936649</v>
      </c>
      <c r="H899">
        <f>soc!N907</f>
        <v>0.98405977045246962</v>
      </c>
      <c r="I899">
        <f t="shared" si="26"/>
        <v>1324</v>
      </c>
      <c r="J899">
        <f t="shared" si="27"/>
        <v>1972</v>
      </c>
    </row>
    <row r="900" spans="7:10" x14ac:dyDescent="0.3">
      <c r="G900">
        <f>both!N908</f>
        <v>0.58817205379454562</v>
      </c>
      <c r="H900">
        <f>soc!N908</f>
        <v>1.2238280181357766E-2</v>
      </c>
      <c r="I900">
        <f t="shared" si="26"/>
        <v>1238</v>
      </c>
      <c r="J900">
        <f t="shared" si="27"/>
        <v>448</v>
      </c>
    </row>
    <row r="901" spans="7:10" x14ac:dyDescent="0.3">
      <c r="G901">
        <f>both!N909</f>
        <v>0.79765454830447324</v>
      </c>
      <c r="H901">
        <f>soc!N909</f>
        <v>1.3599992347989507E-3</v>
      </c>
      <c r="I901">
        <f t="shared" ref="I901:I964" si="28">RANK(G901,$G$4:$H$1004,1) + (COUNTIF($G$4:$H$1004,G901)-1)/2</f>
        <v>1600</v>
      </c>
      <c r="J901">
        <f t="shared" ref="J901:J964" si="29">RANK(H901,$G$4:$H$1004,1) + (COUNTIF($G$4:$H$1004,H901)-1)/2</f>
        <v>204</v>
      </c>
    </row>
    <row r="902" spans="7:10" x14ac:dyDescent="0.3">
      <c r="G902">
        <f>both!N910</f>
        <v>0.67850463875478773</v>
      </c>
      <c r="H902">
        <f>soc!N910</f>
        <v>0.98364538710146077</v>
      </c>
      <c r="I902">
        <f t="shared" si="28"/>
        <v>1372</v>
      </c>
      <c r="J902">
        <f t="shared" si="29"/>
        <v>1969</v>
      </c>
    </row>
    <row r="903" spans="7:10" x14ac:dyDescent="0.3">
      <c r="G903">
        <f>both!N911</f>
        <v>0.31431788044527464</v>
      </c>
      <c r="H903">
        <f>soc!N911</f>
        <v>0.23046985948495197</v>
      </c>
      <c r="I903">
        <f t="shared" si="28"/>
        <v>866</v>
      </c>
      <c r="J903">
        <f t="shared" si="29"/>
        <v>791</v>
      </c>
    </row>
    <row r="904" spans="7:10" x14ac:dyDescent="0.3">
      <c r="G904">
        <f>both!N912</f>
        <v>0.50131803630367999</v>
      </c>
      <c r="H904">
        <f>soc!N912</f>
        <v>0.13644797901647199</v>
      </c>
      <c r="I904">
        <f t="shared" si="28"/>
        <v>1095</v>
      </c>
      <c r="J904">
        <f t="shared" si="29"/>
        <v>720</v>
      </c>
    </row>
    <row r="905" spans="7:10" x14ac:dyDescent="0.3">
      <c r="G905">
        <f>both!N913</f>
        <v>0.799500062962895</v>
      </c>
      <c r="H905">
        <f>soc!N913</f>
        <v>8.5505751418869986E-5</v>
      </c>
      <c r="I905">
        <f t="shared" si="28"/>
        <v>1605</v>
      </c>
      <c r="J905">
        <f t="shared" si="29"/>
        <v>48</v>
      </c>
    </row>
    <row r="906" spans="7:10" x14ac:dyDescent="0.3">
      <c r="G906">
        <f>both!N914</f>
        <v>0.85021816683104279</v>
      </c>
      <c r="H906">
        <f>soc!N914</f>
        <v>3.6580966477907668E-3</v>
      </c>
      <c r="I906">
        <f t="shared" si="28"/>
        <v>1717</v>
      </c>
      <c r="J906">
        <f t="shared" si="29"/>
        <v>304</v>
      </c>
    </row>
    <row r="907" spans="7:10" x14ac:dyDescent="0.3">
      <c r="G907">
        <f>both!N915</f>
        <v>0.33916609351667426</v>
      </c>
      <c r="H907">
        <f>soc!N915</f>
        <v>1.228049661125755E-3</v>
      </c>
      <c r="I907">
        <f t="shared" si="28"/>
        <v>897</v>
      </c>
      <c r="J907">
        <f t="shared" si="29"/>
        <v>191</v>
      </c>
    </row>
    <row r="908" spans="7:10" x14ac:dyDescent="0.3">
      <c r="G908">
        <f>both!N916</f>
        <v>0.91448631040458361</v>
      </c>
      <c r="H908">
        <f>soc!N916</f>
        <v>0.10927300086440526</v>
      </c>
      <c r="I908">
        <f t="shared" si="28"/>
        <v>1853</v>
      </c>
      <c r="J908">
        <f t="shared" si="29"/>
        <v>694</v>
      </c>
    </row>
    <row r="909" spans="7:10" x14ac:dyDescent="0.3">
      <c r="G909">
        <f>both!N917</f>
        <v>0.66762702303448229</v>
      </c>
      <c r="H909">
        <f>soc!N917</f>
        <v>4.339675974880744E-2</v>
      </c>
      <c r="I909">
        <f t="shared" si="28"/>
        <v>1362</v>
      </c>
      <c r="J909">
        <f t="shared" si="29"/>
        <v>592</v>
      </c>
    </row>
    <row r="910" spans="7:10" x14ac:dyDescent="0.3">
      <c r="G910">
        <f>both!N918</f>
        <v>0.6094460603539944</v>
      </c>
      <c r="H910">
        <f>soc!N918</f>
        <v>1.1984078353150192E-4</v>
      </c>
      <c r="I910">
        <f t="shared" si="28"/>
        <v>1271</v>
      </c>
      <c r="J910">
        <f t="shared" si="29"/>
        <v>56</v>
      </c>
    </row>
    <row r="911" spans="7:10" x14ac:dyDescent="0.3">
      <c r="G911">
        <f>both!N919</f>
        <v>0.7480763451612471</v>
      </c>
      <c r="H911">
        <f>soc!N919</f>
        <v>0.59575590177233384</v>
      </c>
      <c r="I911">
        <f t="shared" si="28"/>
        <v>1510</v>
      </c>
      <c r="J911">
        <f t="shared" si="29"/>
        <v>1251</v>
      </c>
    </row>
    <row r="912" spans="7:10" x14ac:dyDescent="0.3">
      <c r="G912">
        <f>both!N920</f>
        <v>0.56184892922886531</v>
      </c>
      <c r="H912">
        <f>soc!N920</f>
        <v>6.3317815443976536E-3</v>
      </c>
      <c r="I912">
        <f t="shared" si="28"/>
        <v>1197</v>
      </c>
      <c r="J912">
        <f t="shared" si="29"/>
        <v>372</v>
      </c>
    </row>
    <row r="913" spans="7:10" x14ac:dyDescent="0.3">
      <c r="G913">
        <f>both!N921</f>
        <v>0.64433095891450543</v>
      </c>
      <c r="H913">
        <f>soc!N921</f>
        <v>4.8558065778223037E-3</v>
      </c>
      <c r="I913">
        <f t="shared" si="28"/>
        <v>1319</v>
      </c>
      <c r="J913">
        <f t="shared" si="29"/>
        <v>341</v>
      </c>
    </row>
    <row r="914" spans="7:10" x14ac:dyDescent="0.3">
      <c r="G914">
        <f>both!N922</f>
        <v>0.92733167011059925</v>
      </c>
      <c r="H914">
        <f>soc!N922</f>
        <v>0.67054293164765333</v>
      </c>
      <c r="I914">
        <f t="shared" si="28"/>
        <v>1881</v>
      </c>
      <c r="J914">
        <f t="shared" si="29"/>
        <v>1366</v>
      </c>
    </row>
    <row r="915" spans="7:10" x14ac:dyDescent="0.3">
      <c r="G915">
        <f>both!N923</f>
        <v>0.31555870553073917</v>
      </c>
      <c r="H915">
        <f>soc!N923</f>
        <v>2.2026001592152858E-2</v>
      </c>
      <c r="I915">
        <f t="shared" si="28"/>
        <v>869</v>
      </c>
      <c r="J915">
        <f t="shared" si="29"/>
        <v>518</v>
      </c>
    </row>
    <row r="916" spans="7:10" x14ac:dyDescent="0.3">
      <c r="G916">
        <f>both!N924</f>
        <v>0.73513582622657991</v>
      </c>
      <c r="H916">
        <f>soc!N924</f>
        <v>0.45057682061146997</v>
      </c>
      <c r="I916">
        <f t="shared" si="28"/>
        <v>1481</v>
      </c>
      <c r="J916">
        <f t="shared" si="29"/>
        <v>1027</v>
      </c>
    </row>
    <row r="917" spans="7:10" x14ac:dyDescent="0.3">
      <c r="G917">
        <f>both!N925</f>
        <v>0.61547994979627729</v>
      </c>
      <c r="H917">
        <f>soc!N925</f>
        <v>1.9551905527445451E-4</v>
      </c>
      <c r="I917">
        <f t="shared" si="28"/>
        <v>1280</v>
      </c>
      <c r="J917">
        <f t="shared" si="29"/>
        <v>81</v>
      </c>
    </row>
    <row r="918" spans="7:10" x14ac:dyDescent="0.3">
      <c r="G918">
        <f>both!N926</f>
        <v>0.59209768477246549</v>
      </c>
      <c r="H918">
        <f>soc!N926</f>
        <v>2.3184014849669567E-2</v>
      </c>
      <c r="I918">
        <f t="shared" si="28"/>
        <v>1247</v>
      </c>
      <c r="J918">
        <f t="shared" si="29"/>
        <v>524</v>
      </c>
    </row>
    <row r="919" spans="7:10" x14ac:dyDescent="0.3">
      <c r="G919">
        <f>both!N927</f>
        <v>0.32423277973292491</v>
      </c>
      <c r="H919">
        <f>soc!N927</f>
        <v>4.8133877374325061E-4</v>
      </c>
      <c r="I919">
        <f t="shared" si="28"/>
        <v>876</v>
      </c>
      <c r="J919">
        <f t="shared" si="29"/>
        <v>125</v>
      </c>
    </row>
    <row r="920" spans="7:10" x14ac:dyDescent="0.3">
      <c r="G920">
        <f>both!N928</f>
        <v>0.36959552642540572</v>
      </c>
      <c r="H920">
        <f>soc!N928</f>
        <v>3.8412936097226776E-5</v>
      </c>
      <c r="I920">
        <f t="shared" si="28"/>
        <v>935</v>
      </c>
      <c r="J920">
        <f t="shared" si="29"/>
        <v>26</v>
      </c>
    </row>
    <row r="921" spans="7:10" x14ac:dyDescent="0.3">
      <c r="G921">
        <f>both!N929</f>
        <v>0.76493868045151325</v>
      </c>
      <c r="H921">
        <f>soc!N929</f>
        <v>1.1228318358340855E-2</v>
      </c>
      <c r="I921">
        <f t="shared" si="28"/>
        <v>1548</v>
      </c>
      <c r="J921">
        <f t="shared" si="29"/>
        <v>440</v>
      </c>
    </row>
    <row r="922" spans="7:10" x14ac:dyDescent="0.3">
      <c r="G922">
        <f>both!N930</f>
        <v>0.51212343159241558</v>
      </c>
      <c r="H922">
        <f>soc!N930</f>
        <v>4.0072616639693359E-2</v>
      </c>
      <c r="I922">
        <f t="shared" si="28"/>
        <v>1114</v>
      </c>
      <c r="J922">
        <f t="shared" si="29"/>
        <v>583</v>
      </c>
    </row>
    <row r="923" spans="7:10" x14ac:dyDescent="0.3">
      <c r="G923">
        <f>both!N931</f>
        <v>0.17984043212241704</v>
      </c>
      <c r="H923">
        <f>soc!N931</f>
        <v>4.1195689994181946E-3</v>
      </c>
      <c r="I923">
        <f t="shared" si="28"/>
        <v>752</v>
      </c>
      <c r="J923">
        <f t="shared" si="29"/>
        <v>319</v>
      </c>
    </row>
    <row r="924" spans="7:10" x14ac:dyDescent="0.3">
      <c r="G924">
        <f>both!N932</f>
        <v>0.45688124108120515</v>
      </c>
      <c r="H924">
        <f>soc!N932</f>
        <v>5.8834498602408775E-3</v>
      </c>
      <c r="I924">
        <f t="shared" si="28"/>
        <v>1040</v>
      </c>
      <c r="J924">
        <f t="shared" si="29"/>
        <v>366</v>
      </c>
    </row>
    <row r="925" spans="7:10" x14ac:dyDescent="0.3">
      <c r="G925">
        <f>both!N933</f>
        <v>0.70014442334542726</v>
      </c>
      <c r="H925">
        <f>soc!N933</f>
        <v>4.2120094714412542E-3</v>
      </c>
      <c r="I925">
        <f t="shared" si="28"/>
        <v>1410</v>
      </c>
      <c r="J925">
        <f t="shared" si="29"/>
        <v>321</v>
      </c>
    </row>
    <row r="926" spans="7:10" x14ac:dyDescent="0.3">
      <c r="G926">
        <f>both!N934</f>
        <v>0.77582169433880099</v>
      </c>
      <c r="H926">
        <f>soc!N934</f>
        <v>9.1744692148705163E-4</v>
      </c>
      <c r="I926">
        <f t="shared" si="28"/>
        <v>1565</v>
      </c>
      <c r="J926">
        <f t="shared" si="29"/>
        <v>167</v>
      </c>
    </row>
    <row r="927" spans="7:10" x14ac:dyDescent="0.3">
      <c r="G927">
        <f>both!N935</f>
        <v>0.38359580565097484</v>
      </c>
      <c r="H927">
        <f>soc!N935</f>
        <v>0.12591775959793106</v>
      </c>
      <c r="I927">
        <f t="shared" si="28"/>
        <v>950</v>
      </c>
      <c r="J927">
        <f t="shared" si="29"/>
        <v>710</v>
      </c>
    </row>
    <row r="928" spans="7:10" x14ac:dyDescent="0.3">
      <c r="G928">
        <f>both!N936</f>
        <v>0.84256907832810679</v>
      </c>
      <c r="H928">
        <f>soc!N936</f>
        <v>7.9700851294257271E-3</v>
      </c>
      <c r="I928">
        <f t="shared" si="28"/>
        <v>1698</v>
      </c>
      <c r="J928">
        <f t="shared" si="29"/>
        <v>395</v>
      </c>
    </row>
    <row r="929" spans="7:10" x14ac:dyDescent="0.3">
      <c r="G929">
        <f>both!N937</f>
        <v>0.33973024097907534</v>
      </c>
      <c r="H929">
        <f>soc!N937</f>
        <v>0.44240529726238559</v>
      </c>
      <c r="I929">
        <f t="shared" si="28"/>
        <v>900</v>
      </c>
      <c r="J929">
        <f t="shared" si="29"/>
        <v>1021</v>
      </c>
    </row>
    <row r="930" spans="7:10" x14ac:dyDescent="0.3">
      <c r="G930">
        <f>both!N938</f>
        <v>0.94693444030150387</v>
      </c>
      <c r="H930">
        <f>soc!N938</f>
        <v>5.5602235260482753E-5</v>
      </c>
      <c r="I930">
        <f t="shared" si="28"/>
        <v>1915</v>
      </c>
      <c r="J930">
        <f t="shared" si="29"/>
        <v>33</v>
      </c>
    </row>
    <row r="931" spans="7:10" x14ac:dyDescent="0.3">
      <c r="G931">
        <f>both!N939</f>
        <v>0.86500817964950238</v>
      </c>
      <c r="H931">
        <f>soc!N939</f>
        <v>6.9245170248956017E-2</v>
      </c>
      <c r="I931">
        <f t="shared" si="28"/>
        <v>1753</v>
      </c>
      <c r="J931">
        <f t="shared" si="29"/>
        <v>650</v>
      </c>
    </row>
    <row r="932" spans="7:10" x14ac:dyDescent="0.3">
      <c r="G932">
        <f>both!N940</f>
        <v>0.69023642191145596</v>
      </c>
      <c r="H932">
        <f>soc!N940</f>
        <v>1.0377274168934142E-2</v>
      </c>
      <c r="I932">
        <f t="shared" si="28"/>
        <v>1395</v>
      </c>
      <c r="J932">
        <f t="shared" si="29"/>
        <v>431</v>
      </c>
    </row>
    <row r="933" spans="7:10" x14ac:dyDescent="0.3">
      <c r="G933">
        <f>both!N941</f>
        <v>0.7383277176496168</v>
      </c>
      <c r="H933">
        <f>soc!N941</f>
        <v>0.99997512605732253</v>
      </c>
      <c r="I933">
        <f t="shared" si="28"/>
        <v>1492</v>
      </c>
      <c r="J933">
        <f t="shared" si="29"/>
        <v>1997</v>
      </c>
    </row>
    <row r="934" spans="7:10" x14ac:dyDescent="0.3">
      <c r="G934">
        <f>both!N942</f>
        <v>0.59190069115683419</v>
      </c>
      <c r="H934">
        <f>soc!N942</f>
        <v>9.7234651761076097E-5</v>
      </c>
      <c r="I934">
        <f t="shared" si="28"/>
        <v>1246</v>
      </c>
      <c r="J934">
        <f t="shared" si="29"/>
        <v>50</v>
      </c>
    </row>
    <row r="935" spans="7:10" x14ac:dyDescent="0.3">
      <c r="G935">
        <f>both!N943</f>
        <v>0.49184387652861783</v>
      </c>
      <c r="H935">
        <f>soc!N943</f>
        <v>0.33114723531050527</v>
      </c>
      <c r="I935">
        <f t="shared" si="28"/>
        <v>1086</v>
      </c>
      <c r="J935">
        <f t="shared" si="29"/>
        <v>885</v>
      </c>
    </row>
    <row r="936" spans="7:10" x14ac:dyDescent="0.3">
      <c r="G936">
        <f>both!N944</f>
        <v>0.23312853016354546</v>
      </c>
      <c r="H936">
        <f>soc!N944</f>
        <v>1.5828419340808457E-4</v>
      </c>
      <c r="I936">
        <f t="shared" si="28"/>
        <v>796</v>
      </c>
      <c r="J936">
        <f t="shared" si="29"/>
        <v>67</v>
      </c>
    </row>
    <row r="937" spans="7:10" x14ac:dyDescent="0.3">
      <c r="G937">
        <f>both!N945</f>
        <v>0.84122715271606874</v>
      </c>
      <c r="H937">
        <f>soc!N945</f>
        <v>6.1930908859699515E-4</v>
      </c>
      <c r="I937">
        <f t="shared" si="28"/>
        <v>1693</v>
      </c>
      <c r="J937">
        <f t="shared" si="29"/>
        <v>142</v>
      </c>
    </row>
    <row r="938" spans="7:10" x14ac:dyDescent="0.3">
      <c r="G938">
        <f>both!N946</f>
        <v>0.71106766838876889</v>
      </c>
      <c r="H938">
        <f>soc!N946</f>
        <v>5.3935583289918317E-3</v>
      </c>
      <c r="I938">
        <f t="shared" si="28"/>
        <v>1433</v>
      </c>
      <c r="J938">
        <f t="shared" si="29"/>
        <v>359</v>
      </c>
    </row>
    <row r="939" spans="7:10" x14ac:dyDescent="0.3">
      <c r="G939">
        <f>both!N947</f>
        <v>0.8082978496556229</v>
      </c>
      <c r="H939">
        <f>soc!N947</f>
        <v>7.480576875055818E-2</v>
      </c>
      <c r="I939">
        <f t="shared" si="28"/>
        <v>1622</v>
      </c>
      <c r="J939">
        <f t="shared" si="29"/>
        <v>655</v>
      </c>
    </row>
    <row r="940" spans="7:10" x14ac:dyDescent="0.3">
      <c r="G940">
        <f>both!N948</f>
        <v>0.9174615611494592</v>
      </c>
      <c r="H940">
        <f>soc!N948</f>
        <v>3.629199550948364E-4</v>
      </c>
      <c r="I940">
        <f t="shared" si="28"/>
        <v>1859</v>
      </c>
      <c r="J940">
        <f t="shared" si="29"/>
        <v>108</v>
      </c>
    </row>
    <row r="941" spans="7:10" x14ac:dyDescent="0.3">
      <c r="G941">
        <f>both!N949</f>
        <v>0.98366332700073789</v>
      </c>
      <c r="H941">
        <f>soc!N949</f>
        <v>3.6069082616465801E-3</v>
      </c>
      <c r="I941">
        <f t="shared" si="28"/>
        <v>1970</v>
      </c>
      <c r="J941">
        <f t="shared" si="29"/>
        <v>302</v>
      </c>
    </row>
    <row r="942" spans="7:10" x14ac:dyDescent="0.3">
      <c r="G942">
        <f>both!N950</f>
        <v>0.45279458643312509</v>
      </c>
      <c r="H942">
        <f>soc!N950</f>
        <v>9.8048586635923274E-4</v>
      </c>
      <c r="I942">
        <f t="shared" si="28"/>
        <v>1035</v>
      </c>
      <c r="J942">
        <f t="shared" si="29"/>
        <v>174</v>
      </c>
    </row>
    <row r="943" spans="7:10" x14ac:dyDescent="0.3">
      <c r="G943">
        <f>both!N951</f>
        <v>0.51723229417689809</v>
      </c>
      <c r="H943">
        <f>soc!N951</f>
        <v>9.507258333400383E-3</v>
      </c>
      <c r="I943">
        <f t="shared" si="28"/>
        <v>1126</v>
      </c>
      <c r="J943">
        <f t="shared" si="29"/>
        <v>422</v>
      </c>
    </row>
    <row r="944" spans="7:10" x14ac:dyDescent="0.3">
      <c r="G944">
        <f>both!N952</f>
        <v>0.7035816559518252</v>
      </c>
      <c r="H944">
        <f>soc!N952</f>
        <v>0.30978506484486268</v>
      </c>
      <c r="I944">
        <f t="shared" si="28"/>
        <v>1420</v>
      </c>
      <c r="J944">
        <f t="shared" si="29"/>
        <v>861</v>
      </c>
    </row>
    <row r="945" spans="7:10" x14ac:dyDescent="0.3">
      <c r="G945">
        <f>both!N953</f>
        <v>0.62711804417288275</v>
      </c>
      <c r="H945">
        <f>soc!N953</f>
        <v>2.5364859347877383E-2</v>
      </c>
      <c r="I945">
        <f t="shared" si="28"/>
        <v>1291</v>
      </c>
      <c r="J945">
        <f t="shared" si="29"/>
        <v>535</v>
      </c>
    </row>
    <row r="946" spans="7:10" x14ac:dyDescent="0.3">
      <c r="G946">
        <f>both!N954</f>
        <v>0.8607361523314504</v>
      </c>
      <c r="H946">
        <f>soc!N954</f>
        <v>1.829365181625562E-2</v>
      </c>
      <c r="I946">
        <f t="shared" si="28"/>
        <v>1737</v>
      </c>
      <c r="J946">
        <f t="shared" si="29"/>
        <v>497</v>
      </c>
    </row>
    <row r="947" spans="7:10" x14ac:dyDescent="0.3">
      <c r="G947">
        <f>both!N955</f>
        <v>0.47261635903373933</v>
      </c>
      <c r="H947">
        <f>soc!N955</f>
        <v>3.6983755735097058E-4</v>
      </c>
      <c r="I947">
        <f t="shared" si="28"/>
        <v>1061</v>
      </c>
      <c r="J947">
        <f t="shared" si="29"/>
        <v>109</v>
      </c>
    </row>
    <row r="948" spans="7:10" x14ac:dyDescent="0.3">
      <c r="G948">
        <f>both!N956</f>
        <v>0.85981526694280119</v>
      </c>
      <c r="H948">
        <f>soc!N956</f>
        <v>0.99985755353074768</v>
      </c>
      <c r="I948">
        <f t="shared" si="28"/>
        <v>1733</v>
      </c>
      <c r="J948">
        <f t="shared" si="29"/>
        <v>1993</v>
      </c>
    </row>
    <row r="949" spans="7:10" x14ac:dyDescent="0.3">
      <c r="G949">
        <f>both!N957</f>
        <v>0.97344614046854849</v>
      </c>
      <c r="H949">
        <f>soc!N957</f>
        <v>0.73215346740696452</v>
      </c>
      <c r="I949">
        <f t="shared" si="28"/>
        <v>1956</v>
      </c>
      <c r="J949">
        <f t="shared" si="29"/>
        <v>1473</v>
      </c>
    </row>
    <row r="950" spans="7:10" x14ac:dyDescent="0.3">
      <c r="G950">
        <f>both!N958</f>
        <v>0.76560275135552336</v>
      </c>
      <c r="H950">
        <f>soc!N958</f>
        <v>1.6873068731913891E-4</v>
      </c>
      <c r="I950">
        <f t="shared" si="28"/>
        <v>1550</v>
      </c>
      <c r="J950">
        <f t="shared" si="29"/>
        <v>69</v>
      </c>
    </row>
    <row r="951" spans="7:10" x14ac:dyDescent="0.3">
      <c r="G951">
        <f>both!N959</f>
        <v>0.5991370643420334</v>
      </c>
      <c r="H951">
        <f>soc!N959</f>
        <v>0.20235647783569138</v>
      </c>
      <c r="I951">
        <f t="shared" si="28"/>
        <v>1257</v>
      </c>
      <c r="J951">
        <f t="shared" si="29"/>
        <v>774</v>
      </c>
    </row>
    <row r="952" spans="7:10" x14ac:dyDescent="0.3">
      <c r="G952">
        <f>both!N960</f>
        <v>0.53162290766354703</v>
      </c>
      <c r="H952">
        <f>soc!N960</f>
        <v>1.4534815907676774E-3</v>
      </c>
      <c r="I952">
        <f t="shared" si="28"/>
        <v>1148</v>
      </c>
      <c r="J952">
        <f t="shared" si="29"/>
        <v>211</v>
      </c>
    </row>
    <row r="953" spans="7:10" x14ac:dyDescent="0.3">
      <c r="G953">
        <f>both!N961</f>
        <v>0.97536075691556312</v>
      </c>
      <c r="H953">
        <f>soc!N961</f>
        <v>7.3105758119271051E-4</v>
      </c>
      <c r="I953">
        <f t="shared" si="28"/>
        <v>1961</v>
      </c>
      <c r="J953">
        <f t="shared" si="29"/>
        <v>151</v>
      </c>
    </row>
    <row r="954" spans="7:10" x14ac:dyDescent="0.3">
      <c r="G954">
        <f>both!N962</f>
        <v>0.95032753324404418</v>
      </c>
      <c r="H954">
        <f>soc!N962</f>
        <v>7.6896415534687904E-4</v>
      </c>
      <c r="I954">
        <f t="shared" si="28"/>
        <v>1924</v>
      </c>
      <c r="J954">
        <f t="shared" si="29"/>
        <v>154</v>
      </c>
    </row>
    <row r="955" spans="7:10" x14ac:dyDescent="0.3">
      <c r="G955">
        <f>both!N963</f>
        <v>0.64848430700625137</v>
      </c>
      <c r="H955">
        <f>soc!N963</f>
        <v>1.2856767453206862E-3</v>
      </c>
      <c r="I955">
        <f t="shared" si="28"/>
        <v>1322</v>
      </c>
      <c r="J955">
        <f t="shared" si="29"/>
        <v>194</v>
      </c>
    </row>
    <row r="956" spans="7:10" x14ac:dyDescent="0.3">
      <c r="G956">
        <f>both!N964</f>
        <v>0.73414880849160935</v>
      </c>
      <c r="H956">
        <f>soc!N964</f>
        <v>1.18558646964485E-2</v>
      </c>
      <c r="I956">
        <f t="shared" si="28"/>
        <v>1478</v>
      </c>
      <c r="J956">
        <f t="shared" si="29"/>
        <v>442</v>
      </c>
    </row>
    <row r="957" spans="7:10" x14ac:dyDescent="0.3">
      <c r="G957">
        <f>both!N965</f>
        <v>0.83848755061909785</v>
      </c>
      <c r="H957">
        <f>soc!N965</f>
        <v>0.25230528934182378</v>
      </c>
      <c r="I957">
        <f t="shared" si="28"/>
        <v>1688</v>
      </c>
      <c r="J957">
        <f t="shared" si="29"/>
        <v>807</v>
      </c>
    </row>
    <row r="958" spans="7:10" x14ac:dyDescent="0.3">
      <c r="G958">
        <f>both!N966</f>
        <v>0.97497613953176276</v>
      </c>
      <c r="H958">
        <f>soc!N966</f>
        <v>1.5624806361010225E-2</v>
      </c>
      <c r="I958">
        <f t="shared" si="28"/>
        <v>1959</v>
      </c>
      <c r="J958">
        <f t="shared" si="29"/>
        <v>474</v>
      </c>
    </row>
    <row r="959" spans="7:10" x14ac:dyDescent="0.3">
      <c r="G959">
        <f>both!N967</f>
        <v>0.74467074599203642</v>
      </c>
      <c r="H959">
        <f>soc!N967</f>
        <v>1.4625142383283295E-2</v>
      </c>
      <c r="I959">
        <f t="shared" si="28"/>
        <v>1505</v>
      </c>
      <c r="J959">
        <f t="shared" si="29"/>
        <v>468</v>
      </c>
    </row>
    <row r="960" spans="7:10" x14ac:dyDescent="0.3">
      <c r="G960">
        <f>both!N968</f>
        <v>0.92189910924032481</v>
      </c>
      <c r="H960">
        <f>soc!N968</f>
        <v>1.902936143119968E-3</v>
      </c>
      <c r="I960">
        <f t="shared" si="28"/>
        <v>1869</v>
      </c>
      <c r="J960">
        <f t="shared" si="29"/>
        <v>244</v>
      </c>
    </row>
    <row r="961" spans="7:10" x14ac:dyDescent="0.3">
      <c r="G961">
        <f>both!N969</f>
        <v>0.73714489919714177</v>
      </c>
      <c r="H961">
        <f>soc!N969</f>
        <v>1.2242654141458255E-2</v>
      </c>
      <c r="I961">
        <f t="shared" si="28"/>
        <v>1487</v>
      </c>
      <c r="J961">
        <f t="shared" si="29"/>
        <v>449</v>
      </c>
    </row>
    <row r="962" spans="7:10" x14ac:dyDescent="0.3">
      <c r="G962">
        <f>both!N970</f>
        <v>0.58145537397553526</v>
      </c>
      <c r="H962">
        <f>soc!N970</f>
        <v>0.33973678562109005</v>
      </c>
      <c r="I962">
        <f t="shared" si="28"/>
        <v>1221</v>
      </c>
      <c r="J962">
        <f t="shared" si="29"/>
        <v>901</v>
      </c>
    </row>
    <row r="963" spans="7:10" x14ac:dyDescent="0.3">
      <c r="G963">
        <f>both!N971</f>
        <v>0.77460384480124167</v>
      </c>
      <c r="H963">
        <f>soc!N971</f>
        <v>0.30004119283899749</v>
      </c>
      <c r="I963">
        <f t="shared" si="28"/>
        <v>1563</v>
      </c>
      <c r="J963">
        <f t="shared" si="29"/>
        <v>848</v>
      </c>
    </row>
    <row r="964" spans="7:10" x14ac:dyDescent="0.3">
      <c r="G964">
        <f>both!N972</f>
        <v>0.18798228007989198</v>
      </c>
      <c r="H964">
        <f>soc!N972</f>
        <v>0.82135985691517821</v>
      </c>
      <c r="I964">
        <f t="shared" si="28"/>
        <v>759</v>
      </c>
      <c r="J964">
        <f t="shared" si="29"/>
        <v>1645</v>
      </c>
    </row>
    <row r="965" spans="7:10" x14ac:dyDescent="0.3">
      <c r="G965">
        <f>both!N973</f>
        <v>0.68301362220029616</v>
      </c>
      <c r="H965">
        <f>soc!N973</f>
        <v>3.7944528083738379E-4</v>
      </c>
      <c r="I965">
        <f t="shared" ref="I965:I1004" si="30">RANK(G965,$G$4:$H$1004,1) + (COUNTIF($G$4:$H$1004,G965)-1)/2</f>
        <v>1382</v>
      </c>
      <c r="J965">
        <f t="shared" ref="J965:J1004" si="31">RANK(H965,$G$4:$H$1004,1) + (COUNTIF($G$4:$H$1004,H965)-1)/2</f>
        <v>111</v>
      </c>
    </row>
    <row r="966" spans="7:10" x14ac:dyDescent="0.3">
      <c r="G966">
        <f>both!N974</f>
        <v>0.7770408133555734</v>
      </c>
      <c r="H966">
        <f>soc!N974</f>
        <v>4.8191926414006278E-3</v>
      </c>
      <c r="I966">
        <f t="shared" si="30"/>
        <v>1569</v>
      </c>
      <c r="J966">
        <f t="shared" si="31"/>
        <v>338</v>
      </c>
    </row>
    <row r="967" spans="7:10" x14ac:dyDescent="0.3">
      <c r="G967">
        <f>both!N975</f>
        <v>0.74067363140096376</v>
      </c>
      <c r="H967">
        <f>soc!N975</f>
        <v>2.330218054685922E-2</v>
      </c>
      <c r="I967">
        <f t="shared" si="30"/>
        <v>1496</v>
      </c>
      <c r="J967">
        <f t="shared" si="31"/>
        <v>526</v>
      </c>
    </row>
    <row r="968" spans="7:10" x14ac:dyDescent="0.3">
      <c r="G968">
        <f>both!N976</f>
        <v>0.63252910768317838</v>
      </c>
      <c r="H968">
        <f>soc!N976</f>
        <v>2.8817728765268089E-4</v>
      </c>
      <c r="I968">
        <f t="shared" si="30"/>
        <v>1300</v>
      </c>
      <c r="J968">
        <f t="shared" si="31"/>
        <v>98</v>
      </c>
    </row>
    <row r="969" spans="7:10" x14ac:dyDescent="0.3">
      <c r="G969">
        <f>both!N977</f>
        <v>0.87705160628209766</v>
      </c>
      <c r="H969">
        <f>soc!N977</f>
        <v>5.8677887417025001E-4</v>
      </c>
      <c r="I969">
        <f t="shared" si="30"/>
        <v>1779</v>
      </c>
      <c r="J969">
        <f t="shared" si="31"/>
        <v>140</v>
      </c>
    </row>
    <row r="970" spans="7:10" x14ac:dyDescent="0.3">
      <c r="G970">
        <f>both!N978</f>
        <v>0.75901256588162846</v>
      </c>
      <c r="H970">
        <f>soc!N978</f>
        <v>0.88545301239765528</v>
      </c>
      <c r="I970">
        <f t="shared" si="30"/>
        <v>1532</v>
      </c>
      <c r="J970">
        <f t="shared" si="31"/>
        <v>1801</v>
      </c>
    </row>
    <row r="971" spans="7:10" x14ac:dyDescent="0.3">
      <c r="G971">
        <f>both!N979</f>
        <v>0.71232781508443122</v>
      </c>
      <c r="H971">
        <f>soc!N979</f>
        <v>0.38788599850323791</v>
      </c>
      <c r="I971">
        <f t="shared" si="30"/>
        <v>1435</v>
      </c>
      <c r="J971">
        <f t="shared" si="31"/>
        <v>959</v>
      </c>
    </row>
    <row r="972" spans="7:10" x14ac:dyDescent="0.3">
      <c r="G972">
        <f>both!N980</f>
        <v>0.48418741898624862</v>
      </c>
      <c r="H972">
        <f>soc!N980</f>
        <v>0.86024130238490304</v>
      </c>
      <c r="I972">
        <f t="shared" si="30"/>
        <v>1075</v>
      </c>
      <c r="J972">
        <f t="shared" si="31"/>
        <v>1734</v>
      </c>
    </row>
    <row r="973" spans="7:10" x14ac:dyDescent="0.3">
      <c r="G973">
        <f>both!N981</f>
        <v>0.59029047211393937</v>
      </c>
      <c r="H973">
        <f>soc!N981</f>
        <v>0.97417858393499968</v>
      </c>
      <c r="I973">
        <f t="shared" si="30"/>
        <v>1240</v>
      </c>
      <c r="J973">
        <f t="shared" si="31"/>
        <v>1957</v>
      </c>
    </row>
    <row r="974" spans="7:10" x14ac:dyDescent="0.3">
      <c r="G974">
        <f>both!N982</f>
        <v>0.96017196519774073</v>
      </c>
      <c r="H974">
        <f>soc!N982</f>
        <v>0.18599168533689583</v>
      </c>
      <c r="I974">
        <f t="shared" si="30"/>
        <v>1940</v>
      </c>
      <c r="J974">
        <f t="shared" si="31"/>
        <v>758</v>
      </c>
    </row>
    <row r="975" spans="7:10" x14ac:dyDescent="0.3">
      <c r="G975">
        <f>both!N983</f>
        <v>0.63473232461163187</v>
      </c>
      <c r="H975">
        <f>soc!N983</f>
        <v>6.5471136266491252E-4</v>
      </c>
      <c r="I975">
        <f t="shared" si="30"/>
        <v>1305</v>
      </c>
      <c r="J975">
        <f t="shared" si="31"/>
        <v>147</v>
      </c>
    </row>
    <row r="976" spans="7:10" x14ac:dyDescent="0.3">
      <c r="G976">
        <f>both!N984</f>
        <v>0.57459199755759005</v>
      </c>
      <c r="H976">
        <f>soc!N984</f>
        <v>1.5276693585929233E-3</v>
      </c>
      <c r="I976">
        <f t="shared" si="30"/>
        <v>1214</v>
      </c>
      <c r="J976">
        <f t="shared" si="31"/>
        <v>218</v>
      </c>
    </row>
    <row r="977" spans="7:10" x14ac:dyDescent="0.3">
      <c r="G977">
        <f>both!N985</f>
        <v>0.96698799816123571</v>
      </c>
      <c r="H977">
        <f>soc!N985</f>
        <v>2.3236169720266067E-2</v>
      </c>
      <c r="I977">
        <f t="shared" si="30"/>
        <v>1947</v>
      </c>
      <c r="J977">
        <f t="shared" si="31"/>
        <v>525</v>
      </c>
    </row>
    <row r="978" spans="7:10" x14ac:dyDescent="0.3">
      <c r="G978">
        <f>both!N986</f>
        <v>0.68252181956949454</v>
      </c>
      <c r="H978">
        <f>soc!N986</f>
        <v>4.8784098412900196E-3</v>
      </c>
      <c r="I978">
        <f t="shared" si="30"/>
        <v>1380</v>
      </c>
      <c r="J978">
        <f t="shared" si="31"/>
        <v>343</v>
      </c>
    </row>
    <row r="979" spans="7:10" x14ac:dyDescent="0.3">
      <c r="G979">
        <f>both!N987</f>
        <v>0.81339280630494559</v>
      </c>
      <c r="H979">
        <f>soc!N987</f>
        <v>3.5237946136609656E-3</v>
      </c>
      <c r="I979">
        <f t="shared" si="30"/>
        <v>1628</v>
      </c>
      <c r="J979">
        <f t="shared" si="31"/>
        <v>298</v>
      </c>
    </row>
    <row r="980" spans="7:10" x14ac:dyDescent="0.3">
      <c r="G980">
        <f>both!N988</f>
        <v>0.83494697578907129</v>
      </c>
      <c r="H980">
        <f>soc!N988</f>
        <v>1.4742220942051453E-3</v>
      </c>
      <c r="I980">
        <f t="shared" si="30"/>
        <v>1683</v>
      </c>
      <c r="J980">
        <f t="shared" si="31"/>
        <v>212</v>
      </c>
    </row>
    <row r="981" spans="7:10" x14ac:dyDescent="0.3">
      <c r="G981">
        <f>both!N989</f>
        <v>0.84476139987953436</v>
      </c>
      <c r="H981">
        <f>soc!N989</f>
        <v>0.3087999720307123</v>
      </c>
      <c r="I981">
        <f t="shared" si="30"/>
        <v>1704</v>
      </c>
      <c r="J981">
        <f t="shared" si="31"/>
        <v>860</v>
      </c>
    </row>
    <row r="982" spans="7:10" x14ac:dyDescent="0.3">
      <c r="G982">
        <f>both!N990</f>
        <v>0.78754402645617749</v>
      </c>
      <c r="H982">
        <f>soc!N990</f>
        <v>2.0577643681149874E-3</v>
      </c>
      <c r="I982">
        <f t="shared" si="30"/>
        <v>1579</v>
      </c>
      <c r="J982">
        <f t="shared" si="31"/>
        <v>252</v>
      </c>
    </row>
    <row r="983" spans="7:10" x14ac:dyDescent="0.3">
      <c r="G983">
        <f>both!N991</f>
        <v>0.70321716574248161</v>
      </c>
      <c r="H983">
        <f>soc!N991</f>
        <v>2.4303773894733088E-4</v>
      </c>
      <c r="I983">
        <f t="shared" si="30"/>
        <v>1419</v>
      </c>
      <c r="J983">
        <f t="shared" si="31"/>
        <v>89</v>
      </c>
    </row>
    <row r="984" spans="7:10" x14ac:dyDescent="0.3">
      <c r="G984">
        <f>both!N992</f>
        <v>0.84127672495082539</v>
      </c>
      <c r="H984">
        <f>soc!N992</f>
        <v>4.8757662816714526E-5</v>
      </c>
      <c r="I984">
        <f t="shared" si="30"/>
        <v>1694</v>
      </c>
      <c r="J984">
        <f t="shared" si="31"/>
        <v>29</v>
      </c>
    </row>
    <row r="985" spans="7:10" x14ac:dyDescent="0.3">
      <c r="G985">
        <f>both!N993</f>
        <v>0.50235076777879673</v>
      </c>
      <c r="H985">
        <f>soc!N993</f>
        <v>6.3378612100274375E-4</v>
      </c>
      <c r="I985">
        <f t="shared" si="30"/>
        <v>1096</v>
      </c>
      <c r="J985">
        <f t="shared" si="31"/>
        <v>145</v>
      </c>
    </row>
    <row r="986" spans="7:10" x14ac:dyDescent="0.3">
      <c r="G986">
        <f>both!N994</f>
        <v>0.65526299339415517</v>
      </c>
      <c r="H986">
        <f>soc!N994</f>
        <v>5.0513188766507778E-5</v>
      </c>
      <c r="I986">
        <f t="shared" si="30"/>
        <v>1336</v>
      </c>
      <c r="J986">
        <f t="shared" si="31"/>
        <v>30</v>
      </c>
    </row>
    <row r="987" spans="7:10" x14ac:dyDescent="0.3">
      <c r="G987">
        <f>both!N995</f>
        <v>0.72886240633896715</v>
      </c>
      <c r="H987">
        <f>soc!N995</f>
        <v>0.573829032738989</v>
      </c>
      <c r="I987">
        <f t="shared" si="30"/>
        <v>1469</v>
      </c>
      <c r="J987">
        <f t="shared" si="31"/>
        <v>1213</v>
      </c>
    </row>
    <row r="988" spans="7:10" x14ac:dyDescent="0.3">
      <c r="G988">
        <f>both!N996</f>
        <v>0.60751638920072171</v>
      </c>
      <c r="H988">
        <f>soc!N996</f>
        <v>0.11935098227243303</v>
      </c>
      <c r="I988">
        <f t="shared" si="30"/>
        <v>1268</v>
      </c>
      <c r="J988">
        <f t="shared" si="31"/>
        <v>702</v>
      </c>
    </row>
    <row r="989" spans="7:10" x14ac:dyDescent="0.3">
      <c r="G989">
        <f>both!N997</f>
        <v>0.53386443959684016</v>
      </c>
      <c r="H989">
        <f>soc!N997</f>
        <v>1.0962583306962533E-2</v>
      </c>
      <c r="I989">
        <f t="shared" si="30"/>
        <v>1150</v>
      </c>
      <c r="J989">
        <f t="shared" si="31"/>
        <v>439</v>
      </c>
    </row>
    <row r="990" spans="7:10" x14ac:dyDescent="0.3">
      <c r="G990">
        <f>both!N998</f>
        <v>0.76362177509859797</v>
      </c>
      <c r="H990">
        <f>soc!N998</f>
        <v>2.3018208573398402E-3</v>
      </c>
      <c r="I990">
        <f t="shared" si="30"/>
        <v>1545</v>
      </c>
      <c r="J990">
        <f t="shared" si="31"/>
        <v>263</v>
      </c>
    </row>
    <row r="991" spans="7:10" x14ac:dyDescent="0.3">
      <c r="G991">
        <f>both!N999</f>
        <v>0.72580589666570638</v>
      </c>
      <c r="H991">
        <f>soc!N999</f>
        <v>2.3033956679336773E-3</v>
      </c>
      <c r="I991">
        <f t="shared" si="30"/>
        <v>1464</v>
      </c>
      <c r="J991">
        <f t="shared" si="31"/>
        <v>264</v>
      </c>
    </row>
    <row r="992" spans="7:10" x14ac:dyDescent="0.3">
      <c r="G992">
        <f>both!N1000</f>
        <v>0.45168235910504151</v>
      </c>
      <c r="H992">
        <f>soc!N1000</f>
        <v>2.0445376891346904E-2</v>
      </c>
      <c r="I992">
        <f t="shared" si="30"/>
        <v>1032</v>
      </c>
      <c r="J992">
        <f t="shared" si="31"/>
        <v>508</v>
      </c>
    </row>
    <row r="993" spans="7:10" x14ac:dyDescent="0.3">
      <c r="G993">
        <f>both!N1001</f>
        <v>0.46128713668271581</v>
      </c>
      <c r="H993">
        <f>soc!N1001</f>
        <v>0.27513771670822174</v>
      </c>
      <c r="I993">
        <f t="shared" si="30"/>
        <v>1047</v>
      </c>
      <c r="J993">
        <f t="shared" si="31"/>
        <v>831</v>
      </c>
    </row>
    <row r="994" spans="7:10" x14ac:dyDescent="0.3">
      <c r="G994">
        <f>both!N1002</f>
        <v>0.65999035785341031</v>
      </c>
      <c r="H994">
        <f>soc!N1002</f>
        <v>1.8654993670727254E-3</v>
      </c>
      <c r="I994">
        <f t="shared" si="30"/>
        <v>1344</v>
      </c>
      <c r="J994">
        <f t="shared" si="31"/>
        <v>242</v>
      </c>
    </row>
    <row r="995" spans="7:10" x14ac:dyDescent="0.3">
      <c r="G995">
        <f>both!N1003</f>
        <v>0.32299791282947266</v>
      </c>
      <c r="H995">
        <f>soc!N1003</f>
        <v>0.16010019470668282</v>
      </c>
      <c r="I995">
        <f t="shared" si="30"/>
        <v>874</v>
      </c>
      <c r="J995">
        <f t="shared" si="31"/>
        <v>734</v>
      </c>
    </row>
    <row r="996" spans="7:10" x14ac:dyDescent="0.3">
      <c r="G996">
        <f>both!N1004</f>
        <v>0.70020983476240173</v>
      </c>
      <c r="H996">
        <f>soc!N1004</f>
        <v>3.2397200910887269E-2</v>
      </c>
      <c r="I996">
        <f t="shared" si="30"/>
        <v>1411</v>
      </c>
      <c r="J996">
        <f t="shared" si="31"/>
        <v>562</v>
      </c>
    </row>
    <row r="997" spans="7:10" x14ac:dyDescent="0.3">
      <c r="G997">
        <f>both!N1005</f>
        <v>0.79862500261143332</v>
      </c>
      <c r="H997">
        <f>soc!N1005</f>
        <v>0.17635152073077939</v>
      </c>
      <c r="I997">
        <f t="shared" si="30"/>
        <v>1602</v>
      </c>
      <c r="J997">
        <f t="shared" si="31"/>
        <v>748</v>
      </c>
    </row>
    <row r="998" spans="7:10" x14ac:dyDescent="0.3">
      <c r="G998">
        <f>both!N1006</f>
        <v>0.30336315529749625</v>
      </c>
      <c r="H998">
        <f>soc!N1006</f>
        <v>1.7880101023231212E-4</v>
      </c>
      <c r="I998">
        <f t="shared" si="30"/>
        <v>853</v>
      </c>
      <c r="J998">
        <f t="shared" si="31"/>
        <v>74</v>
      </c>
    </row>
    <row r="999" spans="7:10" x14ac:dyDescent="0.3">
      <c r="G999">
        <f>both!N1007</f>
        <v>0.95117403757255703</v>
      </c>
      <c r="H999">
        <f>soc!N1007</f>
        <v>8.82364507850141E-3</v>
      </c>
      <c r="I999">
        <f t="shared" si="30"/>
        <v>1927</v>
      </c>
      <c r="J999">
        <f t="shared" si="31"/>
        <v>413</v>
      </c>
    </row>
    <row r="1000" spans="7:10" x14ac:dyDescent="0.3">
      <c r="G1000">
        <f>both!N1008</f>
        <v>0.36351467087720046</v>
      </c>
      <c r="H1000">
        <f>soc!N1008</f>
        <v>4.500206660947252E-4</v>
      </c>
      <c r="I1000">
        <f t="shared" si="30"/>
        <v>928</v>
      </c>
      <c r="J1000">
        <f t="shared" si="31"/>
        <v>120</v>
      </c>
    </row>
    <row r="1001" spans="7:10" x14ac:dyDescent="0.3">
      <c r="G1001">
        <f>both!N1009</f>
        <v>0.59227825939567713</v>
      </c>
      <c r="H1001">
        <f>soc!N1009</f>
        <v>1.8270942783127807E-2</v>
      </c>
      <c r="I1001">
        <f t="shared" si="30"/>
        <v>1248</v>
      </c>
      <c r="J1001">
        <f t="shared" si="31"/>
        <v>496</v>
      </c>
    </row>
    <row r="1002" spans="7:10" x14ac:dyDescent="0.3">
      <c r="G1002">
        <f>both!N1010</f>
        <v>0.46523112814257334</v>
      </c>
      <c r="H1002">
        <f>soc!N1010</f>
        <v>5.9999780379943544E-4</v>
      </c>
      <c r="I1002">
        <f t="shared" si="30"/>
        <v>1051</v>
      </c>
      <c r="J1002">
        <f t="shared" si="31"/>
        <v>141</v>
      </c>
    </row>
    <row r="1003" spans="7:10" x14ac:dyDescent="0.3">
      <c r="G1003">
        <f>both!N1011</f>
        <v>0.44581946759906099</v>
      </c>
      <c r="H1003">
        <f>soc!N1011</f>
        <v>0.27988784376357967</v>
      </c>
      <c r="I1003">
        <f t="shared" si="30"/>
        <v>1023</v>
      </c>
      <c r="J1003">
        <f t="shared" si="31"/>
        <v>833</v>
      </c>
    </row>
    <row r="1004" spans="7:10" x14ac:dyDescent="0.3">
      <c r="G1004">
        <f>both!N1012</f>
        <v>0.41715028460177189</v>
      </c>
      <c r="H1004">
        <f>soc!N1012</f>
        <v>0.93884767460997332</v>
      </c>
      <c r="I1004">
        <f t="shared" si="30"/>
        <v>994</v>
      </c>
      <c r="J1004">
        <f t="shared" si="31"/>
        <v>1898</v>
      </c>
    </row>
  </sheetData>
  <hyperlinks>
    <hyperlink ref="B1" r:id="rId1" xr:uid="{021C8A4D-6A17-4E46-8DBB-AA6CB50DFC1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Initial</vt:lpstr>
      <vt:lpstr>both</vt:lpstr>
      <vt:lpstr>Characteristics_of_Arm_A</vt:lpstr>
      <vt:lpstr>soc</vt:lpstr>
      <vt:lpstr>Characteristics_of_Arm_B</vt:lpstr>
      <vt:lpstr>MW_test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Symeon Savvopoulos</dc:creator>
  <cp:lastModifiedBy>Symeon Savvopoulos</cp:lastModifiedBy>
  <dcterms:created xsi:type="dcterms:W3CDTF">2023-07-31T15:02:20Z</dcterms:created>
  <dcterms:modified xsi:type="dcterms:W3CDTF">2024-06-26T03:41:46Z</dcterms:modified>
</cp:coreProperties>
</file>